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16dd00f57fb53d00/Área de Trabalho/Dados/porsche_project/"/>
    </mc:Choice>
  </mc:AlternateContent>
  <xr:revisionPtr revIDLastSave="11" documentId="11_539572A3D350D82C0131F2D3475ED87656CFCFF2" xr6:coauthVersionLast="47" xr6:coauthVersionMax="47" xr10:uidLastSave="{680A6B44-306B-4E71-B3AA-DDC147EC428A}"/>
  <bookViews>
    <workbookView xWindow="-108" yWindow="-108" windowWidth="23256" windowHeight="12456" xr2:uid="{00000000-000D-0000-FFFF-FFFF00000000}"/>
  </bookViews>
  <sheets>
    <sheet name="sanitized" sheetId="1" r:id="rId1"/>
    <sheet name="normalizer_db" sheetId="2" r:id="rId2"/>
    <sheet name="tabelas" sheetId="3" r:id="rId3"/>
  </sheets>
  <definedNames>
    <definedName name="Slicer_PayMethodSanitized">#N/A</definedName>
    <definedName name="Slicer_StateSanitize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<sst xmlns="http://schemas.openxmlformats.org/spreadsheetml/2006/main" count="1494" uniqueCount="587">
  <si>
    <t>sale_id</t>
  </si>
  <si>
    <t>SaleDateSanitized</t>
  </si>
  <si>
    <t>customer_name</t>
  </si>
  <si>
    <t>PorscheModelSanitized</t>
  </si>
  <si>
    <t>ModelYearSanitized</t>
  </si>
  <si>
    <t>SalesPriceSanitized</t>
  </si>
  <si>
    <t>VehicleMileageSanitized</t>
  </si>
  <si>
    <t>PayMethodSanitized</t>
  </si>
  <si>
    <t>city</t>
  </si>
  <si>
    <t>CitySanitized</t>
  </si>
  <si>
    <t>state</t>
  </si>
  <si>
    <t>StateSanitized</t>
  </si>
  <si>
    <t>salesperson</t>
  </si>
  <si>
    <t>delivery_status</t>
  </si>
  <si>
    <t>DeliveryStatusSanitized</t>
  </si>
  <si>
    <t>INVALID</t>
  </si>
  <si>
    <t>Michael Adams</t>
  </si>
  <si>
    <t>718 Cayman</t>
  </si>
  <si>
    <t>9800</t>
  </si>
  <si>
    <t>Credit Card</t>
  </si>
  <si>
    <t>boston</t>
  </si>
  <si>
    <t>Boston</t>
  </si>
  <si>
    <t>ma</t>
  </si>
  <si>
    <t>MA</t>
  </si>
  <si>
    <t>kevin</t>
  </si>
  <si>
    <t>delivered</t>
  </si>
  <si>
    <t>Delivered</t>
  </si>
  <si>
    <t>2024-03-14</t>
  </si>
  <si>
    <t>SOPHIA Miller</t>
  </si>
  <si>
    <t>911 Turbo S</t>
  </si>
  <si>
    <t>1200</t>
  </si>
  <si>
    <t>Wire Transfer</t>
  </si>
  <si>
    <t>Seattle</t>
  </si>
  <si>
    <t>Washington</t>
  </si>
  <si>
    <t>WA</t>
  </si>
  <si>
    <t>AMANDA scott</t>
  </si>
  <si>
    <t>2024-04-18</t>
  </si>
  <si>
    <t>Daniel-Jones</t>
  </si>
  <si>
    <t>Cayenne Coupe</t>
  </si>
  <si>
    <t>6400</t>
  </si>
  <si>
    <t>Financing</t>
  </si>
  <si>
    <t>austin</t>
  </si>
  <si>
    <t>Austin</t>
  </si>
  <si>
    <t>tx</t>
  </si>
  <si>
    <t>TX</t>
  </si>
  <si>
    <t>Brian Hall</t>
  </si>
  <si>
    <t>in Transit</t>
  </si>
  <si>
    <t>In Transit</t>
  </si>
  <si>
    <t>Olivia Brown</t>
  </si>
  <si>
    <t>Macan S</t>
  </si>
  <si>
    <t>28</t>
  </si>
  <si>
    <t>Cash</t>
  </si>
  <si>
    <t>Denver</t>
  </si>
  <si>
    <t>colorado</t>
  </si>
  <si>
    <t>CO</t>
  </si>
  <si>
    <t>jessica</t>
  </si>
  <si>
    <t>Pending</t>
  </si>
  <si>
    <t>2024-05-22</t>
  </si>
  <si>
    <t>Ethan Wilson</t>
  </si>
  <si>
    <t>Taycan 4S</t>
  </si>
  <si>
    <t>0</t>
  </si>
  <si>
    <t>Bank Transfer</t>
  </si>
  <si>
    <t>los angeles</t>
  </si>
  <si>
    <t>Los Angeles</t>
  </si>
  <si>
    <t>ca</t>
  </si>
  <si>
    <t>CA</t>
  </si>
  <si>
    <t>Thomas King</t>
  </si>
  <si>
    <t>delivered!!!</t>
  </si>
  <si>
    <t>2024-08-06</t>
  </si>
  <si>
    <t>Ava Martinez</t>
  </si>
  <si>
    <t>Panamera 4</t>
  </si>
  <si>
    <t>14500</t>
  </si>
  <si>
    <t>Miami</t>
  </si>
  <si>
    <t>FL</t>
  </si>
  <si>
    <t>LISA ray</t>
  </si>
  <si>
    <t>cancelled</t>
  </si>
  <si>
    <t>Cancelled</t>
  </si>
  <si>
    <t>2024-07-11</t>
  </si>
  <si>
    <t>Noah Davis</t>
  </si>
  <si>
    <t>911 Carrera S</t>
  </si>
  <si>
    <t>41000</t>
  </si>
  <si>
    <t>Lease</t>
  </si>
  <si>
    <t>new york</t>
  </si>
  <si>
    <t>New York</t>
  </si>
  <si>
    <t>NY</t>
  </si>
  <si>
    <t>Mark Evans</t>
  </si>
  <si>
    <t>DELIVERD</t>
  </si>
  <si>
    <t>Isabella Garcia</t>
  </si>
  <si>
    <t>Cayenne E-Hybrid</t>
  </si>
  <si>
    <t>11744</t>
  </si>
  <si>
    <t>San Diego</t>
  </si>
  <si>
    <t>nancy reed</t>
  </si>
  <si>
    <t>pending approval</t>
  </si>
  <si>
    <t>Pending Approval</t>
  </si>
  <si>
    <t>2024-08-19</t>
  </si>
  <si>
    <t>Liam Rodriguez</t>
  </si>
  <si>
    <t>718 Boxster</t>
  </si>
  <si>
    <t>22300</t>
  </si>
  <si>
    <t>Debit Card</t>
  </si>
  <si>
    <t>chicago</t>
  </si>
  <si>
    <t>Chicago</t>
  </si>
  <si>
    <t>IL</t>
  </si>
  <si>
    <t>George Bell</t>
  </si>
  <si>
    <t>shipped</t>
  </si>
  <si>
    <t>Shipped</t>
  </si>
  <si>
    <t>2024-09-02</t>
  </si>
  <si>
    <t>Mia Hernandez</t>
  </si>
  <si>
    <t>Macan GTS</t>
  </si>
  <si>
    <t>3500</t>
  </si>
  <si>
    <t>phoenix</t>
  </si>
  <si>
    <t>Phoenix</t>
  </si>
  <si>
    <t>arizona</t>
  </si>
  <si>
    <t>AZ</t>
  </si>
  <si>
    <t>Helen Brooks</t>
  </si>
  <si>
    <t>2024-09-17</t>
  </si>
  <si>
    <t>James Lopez</t>
  </si>
  <si>
    <t>Taycan Turbo</t>
  </si>
  <si>
    <t>11</t>
  </si>
  <si>
    <t>ACH Payment</t>
  </si>
  <si>
    <t>dallas</t>
  </si>
  <si>
    <t>Dallas</t>
  </si>
  <si>
    <t>samuel price</t>
  </si>
  <si>
    <t>Charlotte Young</t>
  </si>
  <si>
    <t>911 GT3</t>
  </si>
  <si>
    <t>750</t>
  </si>
  <si>
    <t>Las Vegas</t>
  </si>
  <si>
    <t>NV</t>
  </si>
  <si>
    <t>PETER Ford</t>
  </si>
  <si>
    <t>2024-05-11</t>
  </si>
  <si>
    <t>Benjamin Allen</t>
  </si>
  <si>
    <t>Panamera Turbo S</t>
  </si>
  <si>
    <t>19250</t>
  </si>
  <si>
    <t>san jose</t>
  </si>
  <si>
    <t>San Jose</t>
  </si>
  <si>
    <t>california</t>
  </si>
  <si>
    <t>Angela Green</t>
  </si>
  <si>
    <t>delivered.</t>
  </si>
  <si>
    <t>2024-12-12</t>
  </si>
  <si>
    <t>Amelia King</t>
  </si>
  <si>
    <t>Cayenne Turbo GT</t>
  </si>
  <si>
    <t>2100</t>
  </si>
  <si>
    <t>Crypto Payment</t>
  </si>
  <si>
    <t>Houston</t>
  </si>
  <si>
    <t>Texas</t>
  </si>
  <si>
    <t>Victor Stone</t>
  </si>
  <si>
    <t>awaiting delivery</t>
  </si>
  <si>
    <t>Awaiting Delivery</t>
  </si>
  <si>
    <t>2024-12-25</t>
  </si>
  <si>
    <t>Lucas Wright</t>
  </si>
  <si>
    <t>911 Carrera Cabriolet</t>
  </si>
  <si>
    <t>911 Carrera</t>
  </si>
  <si>
    <t>12000</t>
  </si>
  <si>
    <t>atlanta</t>
  </si>
  <si>
    <t>Atlanta</t>
  </si>
  <si>
    <t>ga</t>
  </si>
  <si>
    <t>GA</t>
  </si>
  <si>
    <t>rachel turner</t>
  </si>
  <si>
    <t>2025-01-06</t>
  </si>
  <si>
    <t>Harper Scott</t>
  </si>
  <si>
    <t>Macan</t>
  </si>
  <si>
    <t>33700</t>
  </si>
  <si>
    <t>Orlando</t>
  </si>
  <si>
    <t>Florida</t>
  </si>
  <si>
    <t>Chris Moore</t>
  </si>
  <si>
    <t>Henry Torres</t>
  </si>
  <si>
    <t>718 Spyder RS</t>
  </si>
  <si>
    <t>900</t>
  </si>
  <si>
    <t>portland</t>
  </si>
  <si>
    <t>Portland</t>
  </si>
  <si>
    <t>OR</t>
  </si>
  <si>
    <t>LAURA Hill</t>
  </si>
  <si>
    <t>in-transit</t>
  </si>
  <si>
    <t>2025-02-14</t>
  </si>
  <si>
    <t>Evelyn Nguyen</t>
  </si>
  <si>
    <t>Taycan Cross Turismo</t>
  </si>
  <si>
    <t>7800</t>
  </si>
  <si>
    <t>Charlotte</t>
  </si>
  <si>
    <t>nc</t>
  </si>
  <si>
    <t>NC</t>
  </si>
  <si>
    <t>Martin Young</t>
  </si>
  <si>
    <t>Alexander Flores</t>
  </si>
  <si>
    <t>Cayenne S</t>
  </si>
  <si>
    <t>16000</t>
  </si>
  <si>
    <t>nashville</t>
  </si>
  <si>
    <t>Nashville</t>
  </si>
  <si>
    <t>TN</t>
  </si>
  <si>
    <t>Diana Cooper</t>
  </si>
  <si>
    <t>pending!!</t>
  </si>
  <si>
    <t>2025-03-21</t>
  </si>
  <si>
    <t>Abigail Carter</t>
  </si>
  <si>
    <t>911 Targa 4S</t>
  </si>
  <si>
    <t>2500</t>
  </si>
  <si>
    <t>minneapolis</t>
  </si>
  <si>
    <t>Minneapolis</t>
  </si>
  <si>
    <t>minnesota</t>
  </si>
  <si>
    <t>MN</t>
  </si>
  <si>
    <t>Steve Gray</t>
  </si>
  <si>
    <t>2025-03-28</t>
  </si>
  <si>
    <t>Jack Mitchell</t>
  </si>
  <si>
    <t>Panamera</t>
  </si>
  <si>
    <t>49000</t>
  </si>
  <si>
    <t>Philadelphia</t>
  </si>
  <si>
    <t>pa</t>
  </si>
  <si>
    <t>PA</t>
  </si>
  <si>
    <t>Olivia Ross</t>
  </si>
  <si>
    <t>2025-04-09</t>
  </si>
  <si>
    <t>Emily Perez</t>
  </si>
  <si>
    <t>Macan Electric</t>
  </si>
  <si>
    <t>san antonio</t>
  </si>
  <si>
    <t>San Antonio</t>
  </si>
  <si>
    <t>Patrick Wood</t>
  </si>
  <si>
    <t>William Roberts</t>
  </si>
  <si>
    <t>911 Dakar</t>
  </si>
  <si>
    <t>1050</t>
  </si>
  <si>
    <t>Salt Lake City</t>
  </si>
  <si>
    <t>utah</t>
  </si>
  <si>
    <t>UT</t>
  </si>
  <si>
    <t>Karen Diaz</t>
  </si>
  <si>
    <t>awaiting pickup</t>
  </si>
  <si>
    <t>Awaiting Pickup</t>
  </si>
  <si>
    <t>2025-05-12</t>
  </si>
  <si>
    <t>Sofia Turner</t>
  </si>
  <si>
    <t>Taycan GTS</t>
  </si>
  <si>
    <t>6250</t>
  </si>
  <si>
    <t>Raleigh</t>
  </si>
  <si>
    <t>Justin Cox</t>
  </si>
  <si>
    <t>2025-06-18</t>
  </si>
  <si>
    <t>Mason Phillips</t>
  </si>
  <si>
    <t>Cayenne</t>
  </si>
  <si>
    <t>38400</t>
  </si>
  <si>
    <t>Detroit</t>
  </si>
  <si>
    <t>Michigan</t>
  </si>
  <si>
    <t>MI</t>
  </si>
  <si>
    <t>Betty Ward</t>
  </si>
  <si>
    <t>Ella Campbell</t>
  </si>
  <si>
    <t>718 Cayman GT4 RS</t>
  </si>
  <si>
    <t>400</t>
  </si>
  <si>
    <t>Columbus</t>
  </si>
  <si>
    <t>oh</t>
  </si>
  <si>
    <t>OH</t>
  </si>
  <si>
    <t>Gary Reed</t>
  </si>
  <si>
    <t>2025-07-07</t>
  </si>
  <si>
    <t>Logan Parker</t>
  </si>
  <si>
    <t>911 Carrera GTS</t>
  </si>
  <si>
    <t>13600</t>
  </si>
  <si>
    <t>indianapolis</t>
  </si>
  <si>
    <t>Indianapolis</t>
  </si>
  <si>
    <t>Indiana</t>
  </si>
  <si>
    <t>IN</t>
  </si>
  <si>
    <t>maria foster</t>
  </si>
  <si>
    <t>2025-07-22</t>
  </si>
  <si>
    <t>Grace Evans</t>
  </si>
  <si>
    <t>Panamera 4 E-Hybrid</t>
  </si>
  <si>
    <t>8900</t>
  </si>
  <si>
    <t>Fort Worth</t>
  </si>
  <si>
    <t>Harold Bennett</t>
  </si>
  <si>
    <t>2025-08-14</t>
  </si>
  <si>
    <t>Jacob Edwards</t>
  </si>
  <si>
    <t>Macan T</t>
  </si>
  <si>
    <t>21750</t>
  </si>
  <si>
    <t>Jacksonville</t>
  </si>
  <si>
    <t>Teresa Cook</t>
  </si>
  <si>
    <t>2025-09-01</t>
  </si>
  <si>
    <t>Victoria Collins</t>
  </si>
  <si>
    <t>Taycan Turbo S</t>
  </si>
  <si>
    <t>Frank Morgan</t>
  </si>
  <si>
    <t>pending review</t>
  </si>
  <si>
    <t>Pending Review</t>
  </si>
  <si>
    <t>Andrew Simmons</t>
  </si>
  <si>
    <t>4800</t>
  </si>
  <si>
    <t>tampa</t>
  </si>
  <si>
    <t>Tampa</t>
  </si>
  <si>
    <t>natalie</t>
  </si>
  <si>
    <t>2025-09-18</t>
  </si>
  <si>
    <t>Chloe Bennett</t>
  </si>
  <si>
    <t>12200</t>
  </si>
  <si>
    <t>Sacramento</t>
  </si>
  <si>
    <t>ERIC woods</t>
  </si>
  <si>
    <t>2025-10-04</t>
  </si>
  <si>
    <t>Ryan-Cooper</t>
  </si>
  <si>
    <t>24100</t>
  </si>
  <si>
    <t>cleveland</t>
  </si>
  <si>
    <t>Cleveland</t>
  </si>
  <si>
    <t>Patricia Fox</t>
  </si>
  <si>
    <t>2025-10-12</t>
  </si>
  <si>
    <t>Hannah Reed</t>
  </si>
  <si>
    <t>Taycan</t>
  </si>
  <si>
    <t>Milwaukee</t>
  </si>
  <si>
    <t>Wisconsin</t>
  </si>
  <si>
    <t>WI</t>
  </si>
  <si>
    <t>alan price</t>
  </si>
  <si>
    <t>2025-10-29</t>
  </si>
  <si>
    <t>Dylan Parker</t>
  </si>
  <si>
    <t>Panamera 4S</t>
  </si>
  <si>
    <t>9</t>
  </si>
  <si>
    <t>Kansas City</t>
  </si>
  <si>
    <t>MO</t>
  </si>
  <si>
    <t>Sandra Hill</t>
  </si>
  <si>
    <t>2025-02-11</t>
  </si>
  <si>
    <t>Lily Coleman</t>
  </si>
  <si>
    <t>31000</t>
  </si>
  <si>
    <t>omaha</t>
  </si>
  <si>
    <t>Omaha</t>
  </si>
  <si>
    <t>ne</t>
  </si>
  <si>
    <t>NE</t>
  </si>
  <si>
    <t>Victor Lee</t>
  </si>
  <si>
    <t>2025-11-16</t>
  </si>
  <si>
    <t>Nathan Hughes</t>
  </si>
  <si>
    <t>911 Turbo</t>
  </si>
  <si>
    <t>2400</t>
  </si>
  <si>
    <t>Albuquerque</t>
  </si>
  <si>
    <t>New Mexico</t>
  </si>
  <si>
    <t>NM</t>
  </si>
  <si>
    <t>monica</t>
  </si>
  <si>
    <t>Zoe Foster</t>
  </si>
  <si>
    <t>6773</t>
  </si>
  <si>
    <t>Tucson</t>
  </si>
  <si>
    <t>Gregory Adams</t>
  </si>
  <si>
    <t>Caleb Ward</t>
  </si>
  <si>
    <t>5800</t>
  </si>
  <si>
    <t>fresno</t>
  </si>
  <si>
    <t>Fresno</t>
  </si>
  <si>
    <t>Laura West</t>
  </si>
  <si>
    <t>2025-12-07</t>
  </si>
  <si>
    <t>Stella Brooks</t>
  </si>
  <si>
    <t>Virginia Beach</t>
  </si>
  <si>
    <t>VA</t>
  </si>
  <si>
    <t>Henry King</t>
  </si>
  <si>
    <t>2025-12-22</t>
  </si>
  <si>
    <t>Owen Bryant</t>
  </si>
  <si>
    <t>Panamera Turbo</t>
  </si>
  <si>
    <t>18400</t>
  </si>
  <si>
    <t>colorado springs</t>
  </si>
  <si>
    <t>Colorado Springs</t>
  </si>
  <si>
    <t>amber clark</t>
  </si>
  <si>
    <t>Nora Simmons</t>
  </si>
  <si>
    <t>911 GT3 RS</t>
  </si>
  <si>
    <t>700</t>
  </si>
  <si>
    <t>Arlington</t>
  </si>
  <si>
    <t>PETER Lane</t>
  </si>
  <si>
    <t>2026-01-08</t>
  </si>
  <si>
    <t>Isaac Butler</t>
  </si>
  <si>
    <t>15000</t>
  </si>
  <si>
    <t>Bakersfield</t>
  </si>
  <si>
    <t>Grace Morris</t>
  </si>
  <si>
    <t>2026-01-15</t>
  </si>
  <si>
    <t>Leah Henderson</t>
  </si>
  <si>
    <t>19750</t>
  </si>
  <si>
    <t>Mesa</t>
  </si>
  <si>
    <t>Kyle Perry</t>
  </si>
  <si>
    <t>2026-01-28</t>
  </si>
  <si>
    <t>Christian Bailey</t>
  </si>
  <si>
    <t>3200</t>
  </si>
  <si>
    <t>megan reed</t>
  </si>
  <si>
    <t>2026-02-03</t>
  </si>
  <si>
    <t>Audrey Russell</t>
  </si>
  <si>
    <t>27600</t>
  </si>
  <si>
    <t>long beach</t>
  </si>
  <si>
    <t>Long Beach</t>
  </si>
  <si>
    <t>Carl Simmons</t>
  </si>
  <si>
    <t>Hunter Griffin</t>
  </si>
  <si>
    <t>911 Targa 4</t>
  </si>
  <si>
    <t>Oakland</t>
  </si>
  <si>
    <t>LINDA cole</t>
  </si>
  <si>
    <t>2026-02-19</t>
  </si>
  <si>
    <t>Scarlett Diaz</t>
  </si>
  <si>
    <t>52000</t>
  </si>
  <si>
    <t>Tulsa</t>
  </si>
  <si>
    <t>OK</t>
  </si>
  <si>
    <t>Martin Brooks</t>
  </si>
  <si>
    <t>2026-02-25</t>
  </si>
  <si>
    <t>Eli Jenkins</t>
  </si>
  <si>
    <t>Cayenne Turbo</t>
  </si>
  <si>
    <t>11300</t>
  </si>
  <si>
    <t>Wichita</t>
  </si>
  <si>
    <t>Kansas</t>
  </si>
  <si>
    <t>KS</t>
  </si>
  <si>
    <t>Diana Long</t>
  </si>
  <si>
    <t>2026-03-01</t>
  </si>
  <si>
    <t>Madison Powell</t>
  </si>
  <si>
    <t>new orleans</t>
  </si>
  <si>
    <t>New Orleans</t>
  </si>
  <si>
    <t>la</t>
  </si>
  <si>
    <t>LA</t>
  </si>
  <si>
    <t>Steve Ross</t>
  </si>
  <si>
    <t>2026-03-14</t>
  </si>
  <si>
    <t>Adrian Sanders</t>
  </si>
  <si>
    <t>15900</t>
  </si>
  <si>
    <t>Honolulu</t>
  </si>
  <si>
    <t>HI</t>
  </si>
  <si>
    <t>Olivia Cruz</t>
  </si>
  <si>
    <t>Penelope Barnes</t>
  </si>
  <si>
    <t>6600</t>
  </si>
  <si>
    <t>Anaheim</t>
  </si>
  <si>
    <t>2026-04-08</t>
  </si>
  <si>
    <t>Nolan Fisher</t>
  </si>
  <si>
    <t>40250</t>
  </si>
  <si>
    <t>Henderson</t>
  </si>
  <si>
    <t>Nevada</t>
  </si>
  <si>
    <t>Karen Stone</t>
  </si>
  <si>
    <t>awaiting review</t>
  </si>
  <si>
    <t>Awaiting Review</t>
  </si>
  <si>
    <t>Layla Marshall</t>
  </si>
  <si>
    <t>850</t>
  </si>
  <si>
    <t>Lexington</t>
  </si>
  <si>
    <t>KY</t>
  </si>
  <si>
    <t>justin fox</t>
  </si>
  <si>
    <t>2026-04-21</t>
  </si>
  <si>
    <t>Gabriel Owens</t>
  </si>
  <si>
    <t>1400</t>
  </si>
  <si>
    <t>Riverside</t>
  </si>
  <si>
    <t>Betty James</t>
  </si>
  <si>
    <t>2026-04-29</t>
  </si>
  <si>
    <t>Victoria Hart</t>
  </si>
  <si>
    <t>12700</t>
  </si>
  <si>
    <t>Corpus Christi</t>
  </si>
  <si>
    <t>Gary Price</t>
  </si>
  <si>
    <t>2026-05-05</t>
  </si>
  <si>
    <t>Julian Stone</t>
  </si>
  <si>
    <t>29800</t>
  </si>
  <si>
    <t>St. Louis</t>
  </si>
  <si>
    <t>Missouri</t>
  </si>
  <si>
    <t>maria green</t>
  </si>
  <si>
    <t>2026-05-14</t>
  </si>
  <si>
    <t>Brooklyn Webb</t>
  </si>
  <si>
    <t>7500</t>
  </si>
  <si>
    <t>Pittsburgh</t>
  </si>
  <si>
    <t>Harold Young</t>
  </si>
  <si>
    <t>2026-05-23</t>
  </si>
  <si>
    <t>Aaron Kim</t>
  </si>
  <si>
    <t>1950</t>
  </si>
  <si>
    <t>Cincinnati</t>
  </si>
  <si>
    <t>Teresa Ward</t>
  </si>
  <si>
    <t>2026-06-02</t>
  </si>
  <si>
    <t>Claire Watson</t>
  </si>
  <si>
    <t>8800</t>
  </si>
  <si>
    <t>Anchorage</t>
  </si>
  <si>
    <t>Alaska</t>
  </si>
  <si>
    <t>AK</t>
  </si>
  <si>
    <t>Frank Reed</t>
  </si>
  <si>
    <t>2026-06-15</t>
  </si>
  <si>
    <t>Sebastian Brooks</t>
  </si>
  <si>
    <t>600</t>
  </si>
  <si>
    <t>Plano</t>
  </si>
  <si>
    <t>Angela Moore</t>
  </si>
  <si>
    <t>Bella Ramirez</t>
  </si>
  <si>
    <t>16200</t>
  </si>
  <si>
    <t>Newark</t>
  </si>
  <si>
    <t>nj</t>
  </si>
  <si>
    <t>NJ</t>
  </si>
  <si>
    <t>rachel west</t>
  </si>
  <si>
    <t>2026-07-07</t>
  </si>
  <si>
    <t>Miles Peterson</t>
  </si>
  <si>
    <t>36000</t>
  </si>
  <si>
    <t>Greensboro</t>
  </si>
  <si>
    <t>North Carolina</t>
  </si>
  <si>
    <t>Thomas Fox</t>
  </si>
  <si>
    <t>2026-07-20</t>
  </si>
  <si>
    <t>Skylar Rogers</t>
  </si>
  <si>
    <t>Lincoln</t>
  </si>
  <si>
    <t>Nebraska</t>
  </si>
  <si>
    <t>LISA Dunn</t>
  </si>
  <si>
    <t>Dominic Kelly</t>
  </si>
  <si>
    <t>5300</t>
  </si>
  <si>
    <t>Jersey City</t>
  </si>
  <si>
    <t>Brian Allen</t>
  </si>
  <si>
    <t>Lucy Howard</t>
  </si>
  <si>
    <t>5872</t>
  </si>
  <si>
    <t>chandler</t>
  </si>
  <si>
    <t>Chandler</t>
  </si>
  <si>
    <t>George Hall</t>
  </si>
  <si>
    <t>2026-08-18</t>
  </si>
  <si>
    <t>Everett Cox</t>
  </si>
  <si>
    <t>718 Boxster GTS</t>
  </si>
  <si>
    <t>13300</t>
  </si>
  <si>
    <t>Reno</t>
  </si>
  <si>
    <t>Helen King</t>
  </si>
  <si>
    <t>2026-08-31</t>
  </si>
  <si>
    <t>Maya Rivera</t>
  </si>
  <si>
    <t>20100</t>
  </si>
  <si>
    <t>Buffalo</t>
  </si>
  <si>
    <t>2026-09-09</t>
  </si>
  <si>
    <t>Connor Ward</t>
  </si>
  <si>
    <t>Durham</t>
  </si>
  <si>
    <t>Peter Ford</t>
  </si>
  <si>
    <t>2026-09-17</t>
  </si>
  <si>
    <t>Eliana Bell</t>
  </si>
  <si>
    <t>2900</t>
  </si>
  <si>
    <t>Laredo</t>
  </si>
  <si>
    <t>2026-09-28</t>
  </si>
  <si>
    <t>Cameron Murphy</t>
  </si>
  <si>
    <t>13100</t>
  </si>
  <si>
    <t>Madison</t>
  </si>
  <si>
    <t>2026-10-06</t>
  </si>
  <si>
    <t>Ariana Cook</t>
  </si>
  <si>
    <t>1100</t>
  </si>
  <si>
    <t>Lubbock</t>
  </si>
  <si>
    <t>Rachel Turner</t>
  </si>
  <si>
    <t>2026-10-16</t>
  </si>
  <si>
    <t>Wesley Morgan</t>
  </si>
  <si>
    <t>718 Cayman S</t>
  </si>
  <si>
    <t>22500</t>
  </si>
  <si>
    <t>Toledo</t>
  </si>
  <si>
    <t>Ohio</t>
  </si>
  <si>
    <t>2026-10-29</t>
  </si>
  <si>
    <t>Naomi Peterson</t>
  </si>
  <si>
    <t>Irvine</t>
  </si>
  <si>
    <t>2026-11-03</t>
  </si>
  <si>
    <t>Jason Perry</t>
  </si>
  <si>
    <t>44800</t>
  </si>
  <si>
    <t>Garland</t>
  </si>
  <si>
    <t>Riley Flores</t>
  </si>
  <si>
    <t>6700</t>
  </si>
  <si>
    <t>Irving</t>
  </si>
  <si>
    <t>2026-12-11</t>
  </si>
  <si>
    <t>Hazel Long</t>
  </si>
  <si>
    <t>4200</t>
  </si>
  <si>
    <t>Chesapeake</t>
  </si>
  <si>
    <t>2026-12-24</t>
  </si>
  <si>
    <t>Easton Bailey</t>
  </si>
  <si>
    <t>1250</t>
  </si>
  <si>
    <t>Scottsdale</t>
  </si>
  <si>
    <t>Aurora Cooper</t>
  </si>
  <si>
    <t>18600</t>
  </si>
  <si>
    <t>Norfolk</t>
  </si>
  <si>
    <t>2026-12-28</t>
  </si>
  <si>
    <t>Colton Richardson</t>
  </si>
  <si>
    <t>3000</t>
  </si>
  <si>
    <t>Boise</t>
  </si>
  <si>
    <t>Idaho</t>
  </si>
  <si>
    <t>ID</t>
  </si>
  <si>
    <t>2027-01-15</t>
  </si>
  <si>
    <t>Mason Stewart</t>
  </si>
  <si>
    <t>7200</t>
  </si>
  <si>
    <t>kevin brown</t>
  </si>
  <si>
    <t>2027-01-29</t>
  </si>
  <si>
    <t>Harper Reed</t>
  </si>
  <si>
    <t>21400</t>
  </si>
  <si>
    <t>AMANDA Lee</t>
  </si>
  <si>
    <t>2027-02-11</t>
  </si>
  <si>
    <t>Tyler-Morris</t>
  </si>
  <si>
    <t>26300</t>
  </si>
  <si>
    <t>Natalie Brooks</t>
  </si>
  <si>
    <t>jessica white</t>
  </si>
  <si>
    <t>2027-03-05</t>
  </si>
  <si>
    <t>Brandon Parker</t>
  </si>
  <si>
    <t>42</t>
  </si>
  <si>
    <t>2027-03-18</t>
  </si>
  <si>
    <t>Lauren Foster</t>
  </si>
  <si>
    <t>17500</t>
  </si>
  <si>
    <t>wa</t>
  </si>
  <si>
    <t>2027-04-02</t>
  </si>
  <si>
    <t>Adam Hughes</t>
  </si>
  <si>
    <t>Massachusetts</t>
  </si>
  <si>
    <t>monica green</t>
  </si>
  <si>
    <t>Julia Coleman</t>
  </si>
  <si>
    <t>5530</t>
  </si>
  <si>
    <t>Caleb Simmons</t>
  </si>
  <si>
    <t>Illinois</t>
  </si>
  <si>
    <t>2027-05-12</t>
  </si>
  <si>
    <t>Ariana Price</t>
  </si>
  <si>
    <t>2027-05-27</t>
  </si>
  <si>
    <t>Owen Rivera</t>
  </si>
  <si>
    <t>13400</t>
  </si>
  <si>
    <t>san francisco</t>
  </si>
  <si>
    <t>San Francisco</t>
  </si>
  <si>
    <t>Nora Bennett</t>
  </si>
  <si>
    <t>1700</t>
  </si>
  <si>
    <t>2027-06-18</t>
  </si>
  <si>
    <t>Isaac Turner</t>
  </si>
  <si>
    <t>14000</t>
  </si>
  <si>
    <t>2027-07-03</t>
  </si>
  <si>
    <t>Leah Scott</t>
  </si>
  <si>
    <t>20750</t>
  </si>
  <si>
    <t>2027-07-22</t>
  </si>
  <si>
    <t>5200</t>
  </si>
  <si>
    <t>2027-08-08</t>
  </si>
  <si>
    <t>29600</t>
  </si>
  <si>
    <t>3100</t>
  </si>
  <si>
    <t>2027-09-19</t>
  </si>
  <si>
    <t>48000</t>
  </si>
  <si>
    <t>2027-09-25</t>
  </si>
  <si>
    <t>3300</t>
  </si>
  <si>
    <t>2027-10-01</t>
  </si>
  <si>
    <t>Row Labels</t>
  </si>
  <si>
    <t>Grand Total</t>
  </si>
  <si>
    <t>Sum of SalesPriceSanitized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</si>
</sst>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4" x14ac:knownFonts="1">
    <font>
      <sz val="11"/>
      <color theme="1"/>
      <name val="Calibri"/>
      <family val="2"/>
      <scheme val="minor"/>
    </font>
    <font>
      <b/>
      <sz val="11"/>
      <color rgb="FFFFFFFF"/>
      <name val="Calibri"/>
    </font>
    <font>
      <sz val="11"/>
      <name val="Calibri"/>
    </font>
    <font>
      <b/>
      <sz val="11"/>
      <color rgb="FFCC0000"/>
      <name val="Calibri"/>
    </font>
  </fonts>
  <fills count="10">
    <fill>
      <patternFill patternType="none"/>
    </fill>
    <fill>
      <patternFill patternType="gray125"/>
    </fill>
    <fill>
      <patternFill patternType="solid">
        <fgColor rgb="FF1F4E79"/>
        <bgColor rgb="FF1F4E79"/>
      </patternFill>
    </fill>
    <fill>
      <patternFill patternType="solid">
        <fgColor rgb="FF375623"/>
        <bgColor rgb="FF375623"/>
      </patternFill>
    </fill>
    <fill>
      <patternFill patternType="solid">
        <fgColor rgb="FFD6E4F0"/>
        <bgColor rgb="FFD6E4F0"/>
      </patternFill>
    </fill>
    <fill>
      <patternFill patternType="solid">
        <fgColor rgb="FFFDE0DC"/>
        <bgColor rgb="FFFDE0DC"/>
      </patternFill>
    </fill>
    <fill>
      <patternFill patternType="solid">
        <fgColor rgb="FFD9E9D2"/>
        <bgColor rgb="FFD9E9D2"/>
      </patternFill>
    </fill>
    <fill>
      <patternFill patternType="solid">
        <fgColor theme="0"/>
        <bgColor rgb="FF375623"/>
      </patternFill>
    </fill>
    <fill>
      <patternFill patternType="solid">
        <fgColor theme="0"/>
        <bgColor rgb="FFD9E9D2"/>
      </patternFill>
    </fill>
    <fill>
      <patternFill patternType="solid">
        <fgColor theme="0"/>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vertical="center"/>
    </xf>
    <xf numFmtId="0" fontId="3" fillId="5" borderId="1" xfId="0" applyFont="1" applyFill="1" applyBorder="1" applyAlignment="1">
      <alignment vertical="center"/>
    </xf>
    <xf numFmtId="0" fontId="2" fillId="6" borderId="1" xfId="0" applyFont="1" applyFill="1" applyBorder="1" applyAlignment="1">
      <alignment vertical="center"/>
    </xf>
    <xf numFmtId="2" fontId="0" fillId="0" borderId="0" xfId="0" applyNumberFormat="1"/>
    <xf numFmtId="0" fontId="2" fillId="6" borderId="1" xfId="0" applyNumberFormat="1" applyFont="1" applyFill="1" applyBorder="1" applyAlignment="1">
      <alignment vertical="center"/>
    </xf>
    <xf numFmtId="0" fontId="1" fillId="7" borderId="1" xfId="0" applyFont="1" applyFill="1" applyBorder="1" applyAlignment="1">
      <alignment horizontal="center" vertical="center" wrapText="1"/>
    </xf>
    <xf numFmtId="0" fontId="2" fillId="8" borderId="1" xfId="0" applyFont="1" applyFill="1" applyBorder="1" applyAlignment="1">
      <alignment vertical="center"/>
    </xf>
    <xf numFmtId="0" fontId="2" fillId="8" borderId="0" xfId="0" applyFont="1" applyFill="1" applyBorder="1" applyAlignment="1">
      <alignment vertical="center"/>
    </xf>
    <xf numFmtId="0" fontId="0" fillId="9"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164" fontId="2" fillId="6" borderId="1" xfId="0" applyNumberFormat="1" applyFont="1" applyFill="1" applyBorder="1" applyAlignment="1">
      <alignment vertical="center"/>
    </xf>
    <xf numFmtId="44" fontId="0" fillId="0" borderId="0" xfId="0" applyNumberFormat="1"/>
    <xf numFmtId="0" fontId="2" fillId="4" borderId="2" xfId="0" applyFont="1" applyFill="1" applyBorder="1" applyAlignment="1">
      <alignment vertical="center"/>
    </xf>
    <xf numFmtId="0" fontId="2" fillId="6" borderId="3" xfId="0" applyFont="1" applyFill="1" applyBorder="1" applyAlignment="1">
      <alignment vertical="center"/>
    </xf>
    <xf numFmtId="0" fontId="1" fillId="2"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2" borderId="5" xfId="0" applyFont="1" applyFill="1" applyBorder="1" applyAlignment="1">
      <alignment horizontal="center" vertical="center" wrapText="1"/>
    </xf>
    <xf numFmtId="2" fontId="1" fillId="3" borderId="5" xfId="0" applyNumberFormat="1" applyFont="1" applyFill="1" applyBorder="1" applyAlignment="1">
      <alignment horizontal="center" vertical="center" wrapText="1"/>
    </xf>
    <xf numFmtId="0" fontId="1" fillId="3" borderId="6" xfId="0" applyFont="1" applyFill="1" applyBorder="1" applyAlignment="1">
      <alignment horizontal="center" vertical="center" wrapText="1"/>
    </xf>
    <xf numFmtId="0" fontId="2" fillId="4" borderId="7" xfId="0" applyFont="1" applyFill="1" applyBorder="1" applyAlignment="1">
      <alignment vertical="center"/>
    </xf>
    <xf numFmtId="0" fontId="2" fillId="6" borderId="8" xfId="0" applyFont="1" applyFill="1" applyBorder="1" applyAlignment="1">
      <alignment vertical="center"/>
    </xf>
    <xf numFmtId="0" fontId="2" fillId="4" borderId="8" xfId="0" applyFont="1" applyFill="1" applyBorder="1" applyAlignment="1">
      <alignment vertical="center"/>
    </xf>
    <xf numFmtId="0" fontId="2" fillId="6" borderId="8" xfId="0" applyNumberFormat="1" applyFont="1" applyFill="1" applyBorder="1" applyAlignment="1">
      <alignment vertical="center"/>
    </xf>
    <xf numFmtId="164" fontId="2" fillId="6" borderId="8" xfId="0" applyNumberFormat="1" applyFont="1" applyFill="1" applyBorder="1" applyAlignment="1">
      <alignment vertical="center"/>
    </xf>
    <xf numFmtId="0" fontId="2" fillId="6" borderId="9" xfId="0" applyFont="1" applyFill="1" applyBorder="1" applyAlignment="1">
      <alignment vertical="center"/>
    </xf>
  </cellXfs>
  <cellStyles count="1">
    <cellStyle name="Normal" xfId="0" builtinId="0"/>
  </cellStyles>
  <dxfs count="31">
    <dxf>
      <font>
        <b val="0"/>
        <i val="0"/>
        <strike val="0"/>
        <condense val="0"/>
        <extend val="0"/>
        <outline val="0"/>
        <shadow val="0"/>
        <u val="none"/>
        <vertAlign val="baseline"/>
        <sz val="11"/>
        <color auto="1"/>
        <name val="Calibri"/>
        <scheme val="none"/>
      </font>
      <fill>
        <patternFill patternType="solid">
          <fgColor rgb="FFD6E4F0"/>
          <bgColor rgb="FFD6E4F0"/>
        </patternFill>
      </fill>
      <alignment horizontal="general" vertical="center" textRotation="0" wrapText="0" indent="0" justifyLastLine="0" shrinkToFit="0" readingOrder="0"/>
      <border diagonalUp="0" diagonalDown="0" outline="0">
        <left/>
        <right style="thin">
          <color rgb="FFBFBFBF"/>
        </right>
        <top style="thin">
          <color rgb="FFBFBFBF"/>
        </top>
        <bottom/>
      </border>
    </dxf>
    <dxf>
      <font>
        <b val="0"/>
        <i val="0"/>
        <strike val="0"/>
        <condense val="0"/>
        <extend val="0"/>
        <outline val="0"/>
        <shadow val="0"/>
        <u val="none"/>
        <vertAlign val="baseline"/>
        <sz val="11"/>
        <color auto="1"/>
        <name val="Calibri"/>
        <scheme val="none"/>
      </font>
      <fill>
        <patternFill patternType="solid">
          <fgColor rgb="FFD9E9D2"/>
          <bgColor rgb="FFD9E9D2"/>
        </patternFill>
      </fill>
      <alignment horizontal="general"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1"/>
        <color auto="1"/>
        <name val="Calibri"/>
        <scheme val="none"/>
      </font>
      <fill>
        <patternFill patternType="solid">
          <fgColor rgb="FFD6E4F0"/>
          <bgColor rgb="FFD6E4F0"/>
        </patternFill>
      </fill>
      <alignment horizontal="general"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1"/>
        <color auto="1"/>
        <name val="Calibri"/>
        <scheme val="none"/>
      </font>
      <fill>
        <patternFill patternType="solid">
          <fgColor rgb="FFD9E9D2"/>
          <bgColor rgb="FFD9E9D2"/>
        </patternFill>
      </fill>
      <alignment horizontal="general"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1"/>
        <color auto="1"/>
        <name val="Calibri"/>
        <scheme val="none"/>
      </font>
      <fill>
        <patternFill patternType="solid">
          <fgColor rgb="FFD9E9D2"/>
          <bgColor rgb="FFD9E9D2"/>
        </patternFill>
      </fill>
      <alignment horizontal="general"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1"/>
        <color auto="1"/>
        <name val="Calibri"/>
        <scheme val="none"/>
      </font>
      <fill>
        <patternFill patternType="solid">
          <fgColor rgb="FFD9E9D2"/>
          <bgColor rgb="FFD9E9D2"/>
        </patternFill>
      </fill>
      <alignment horizontal="general"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1"/>
        <color auto="1"/>
        <name val="Calibri"/>
        <scheme val="none"/>
      </font>
      <fill>
        <patternFill patternType="solid">
          <fgColor rgb="FFD9E9D2"/>
          <bgColor rgb="FFD9E9D2"/>
        </patternFill>
      </fill>
      <alignment horizontal="general"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1"/>
        <color auto="1"/>
        <name val="Calibri"/>
        <scheme val="none"/>
      </font>
      <fill>
        <patternFill patternType="solid">
          <fgColor rgb="FFD9E9D2"/>
          <bgColor rgb="FFD9E9D2"/>
        </patternFill>
      </fill>
      <alignment horizontal="general"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1"/>
        <color auto="1"/>
        <name val="Calibri"/>
        <scheme val="none"/>
      </font>
      <fill>
        <patternFill patternType="solid">
          <fgColor rgb="FFD9E9D2"/>
          <bgColor rgb="FFD9E9D2"/>
        </patternFill>
      </fill>
      <alignment horizontal="general"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1"/>
        <color auto="1"/>
        <name val="Calibri"/>
        <scheme val="none"/>
      </font>
      <fill>
        <patternFill patternType="solid">
          <fgColor rgb="FFD9E9D2"/>
          <bgColor rgb="FFD9E9D2"/>
        </patternFill>
      </fill>
      <alignment horizontal="general"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1"/>
        <color auto="1"/>
        <name val="Calibri"/>
        <scheme val="none"/>
      </font>
      <fill>
        <patternFill patternType="solid">
          <fgColor rgb="FFD6E4F0"/>
          <bgColor rgb="FFD6E4F0"/>
        </patternFill>
      </fill>
      <alignment horizontal="general"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1"/>
        <color auto="1"/>
        <name val="Calibri"/>
        <scheme val="none"/>
      </font>
      <fill>
        <patternFill patternType="solid">
          <fgColor rgb="FFD9E9D2"/>
          <bgColor rgb="FFD9E9D2"/>
        </patternFill>
      </fill>
      <alignment horizontal="general" vertical="center" textRotation="0" wrapText="0" indent="0" justifyLastLine="0" shrinkToFit="0" readingOrder="0"/>
      <border diagonalUp="0" diagonalDown="0" outline="0">
        <left style="thin">
          <color rgb="FFBFBFBF"/>
        </left>
        <right/>
        <top style="thin">
          <color rgb="FFBFBFBF"/>
        </top>
        <bottom/>
      </border>
    </dxf>
    <dxf>
      <font>
        <b/>
        <i val="0"/>
        <strike val="0"/>
        <condense val="0"/>
        <extend val="0"/>
        <outline val="0"/>
        <shadow val="0"/>
        <u val="none"/>
        <vertAlign val="baseline"/>
        <sz val="11"/>
        <color rgb="FFFFFFFF"/>
        <name val="Calibri"/>
        <scheme val="none"/>
      </font>
      <fill>
        <patternFill patternType="solid">
          <fgColor rgb="FF375623"/>
          <bgColor rgb="FF375623"/>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1"/>
        <color auto="1"/>
        <name val="Calibri"/>
        <scheme val="none"/>
      </font>
      <fill>
        <patternFill patternType="solid">
          <fgColor rgb="FFD9E9D2"/>
          <bgColor rgb="FFD9E9D2"/>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solid">
          <fgColor rgb="FFD9E9D2"/>
          <bgColor rgb="FFD9E9D2"/>
        </patternFill>
      </fill>
      <alignment horizontal="general" vertical="center" textRotation="0" wrapText="0"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1"/>
        <color auto="1"/>
        <name val="Calibri"/>
        <scheme val="none"/>
      </font>
      <fill>
        <patternFill patternType="solid">
          <fgColor rgb="FFD6E4F0"/>
          <bgColor rgb="FFD6E4F0"/>
        </patternFill>
      </fill>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scheme val="none"/>
      </font>
      <fill>
        <patternFill patternType="solid">
          <fgColor rgb="FFD9E9D2"/>
          <bgColor rgb="FFD9E9D2"/>
        </patternFill>
      </fill>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scheme val="none"/>
      </font>
      <fill>
        <patternFill patternType="solid">
          <fgColor rgb="FFD9E9D2"/>
          <bgColor rgb="FFD9E9D2"/>
        </patternFill>
      </fill>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scheme val="none"/>
      </font>
      <fill>
        <patternFill patternType="solid">
          <fgColor rgb="FFD9E9D2"/>
          <bgColor rgb="FFD9E9D2"/>
        </patternFill>
      </fill>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scheme val="none"/>
      </font>
      <fill>
        <patternFill patternType="solid">
          <fgColor rgb="FFD9E9D2"/>
          <bgColor rgb="FFD9E9D2"/>
        </patternFill>
      </fill>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scheme val="none"/>
      </font>
      <numFmt numFmtId="164" formatCode="&quot;$&quot;#,##0.00"/>
      <fill>
        <patternFill patternType="solid">
          <fgColor rgb="FFD9E9D2"/>
          <bgColor rgb="FFD9E9D2"/>
        </patternFill>
      </fill>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9E9D2"/>
          <bgColor rgb="FFD9E9D2"/>
        </patternFill>
      </fill>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scheme val="none"/>
      </font>
      <fill>
        <patternFill patternType="solid">
          <fgColor rgb="FFD9E9D2"/>
          <bgColor rgb="FFD9E9D2"/>
        </patternFill>
      </fill>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scheme val="none"/>
      </font>
      <fill>
        <patternFill patternType="solid">
          <fgColor rgb="FFD6E4F0"/>
          <bgColor rgb="FFD6E4F0"/>
        </patternFill>
      </fill>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scheme val="none"/>
      </font>
      <fill>
        <patternFill patternType="solid">
          <fgColor rgb="FFD9E9D2"/>
          <bgColor rgb="FFD9E9D2"/>
        </patternFill>
      </fill>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Calibri"/>
        <scheme val="none"/>
      </font>
      <fill>
        <patternFill patternType="solid">
          <fgColor rgb="FFD6E4F0"/>
          <bgColor rgb="FFD6E4F0"/>
        </patternFill>
      </fill>
      <alignment horizontal="general" vertical="center"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numFmt numFmtId="34" formatCode="_(&quot;$&quot;* #,##0.00_);_(&quot;$&quot;* \(#,##0.00\);_(&quot;$&quot;* &quot;-&quot;??_);_(@_)"/>
    </dxf>
    <dxf>
      <numFmt numFmtId="34" formatCode="_(&quot;$&quot;* #,##0.00_);_(&quot;$&quot;* \(#,##0.00\);_(&quot;$&quot;*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5</xdr:col>
      <xdr:colOff>350520</xdr:colOff>
      <xdr:row>1</xdr:row>
      <xdr:rowOff>175260</xdr:rowOff>
    </xdr:from>
    <xdr:to>
      <xdr:col>8</xdr:col>
      <xdr:colOff>350520</xdr:colOff>
      <xdr:row>15</xdr:row>
      <xdr:rowOff>81915</xdr:rowOff>
    </xdr:to>
    <mc:AlternateContent xmlns:mc="http://schemas.openxmlformats.org/markup-compatibility/2006" xmlns:a14="http://schemas.microsoft.com/office/drawing/2010/main">
      <mc:Choice Requires="a14">
        <xdr:graphicFrame macro="">
          <xdr:nvGraphicFramePr>
            <xdr:cNvPr id="2" name="PayMethodSanitized">
              <a:extLst>
                <a:ext uri="{FF2B5EF4-FFF2-40B4-BE49-F238E27FC236}">
                  <a16:creationId xmlns:a16="http://schemas.microsoft.com/office/drawing/2014/main" id="{26DC308E-5B88-6ABF-8A33-663FBE2B81E6}"/>
                </a:ext>
              </a:extLst>
            </xdr:cNvPr>
            <xdr:cNvGraphicFramePr/>
          </xdr:nvGraphicFramePr>
          <xdr:xfrm>
            <a:off x="0" y="0"/>
            <a:ext cx="0" cy="0"/>
          </xdr:xfrm>
          <a:graphic>
            <a:graphicData uri="http://schemas.microsoft.com/office/drawing/2010/slicer">
              <sle:slicer xmlns:sle="http://schemas.microsoft.com/office/drawing/2010/slicer" name="PayMethodSanitized"/>
            </a:graphicData>
          </a:graphic>
        </xdr:graphicFrame>
      </mc:Choice>
      <mc:Fallback xmlns="">
        <xdr:sp macro="" textlink="">
          <xdr:nvSpPr>
            <xdr:cNvPr id="0" name=""/>
            <xdr:cNvSpPr>
              <a:spLocks noTextEdit="1"/>
            </xdr:cNvSpPr>
          </xdr:nvSpPr>
          <xdr:spPr>
            <a:xfrm>
              <a:off x="7239000" y="3581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22860</xdr:colOff>
      <xdr:row>1</xdr:row>
      <xdr:rowOff>167640</xdr:rowOff>
    </xdr:from>
    <xdr:to>
      <xdr:col>12</xdr:col>
      <xdr:colOff>22860</xdr:colOff>
      <xdr:row>15</xdr:row>
      <xdr:rowOff>74295</xdr:rowOff>
    </xdr:to>
    <mc:AlternateContent xmlns:mc="http://schemas.openxmlformats.org/markup-compatibility/2006" xmlns:a14="http://schemas.microsoft.com/office/drawing/2010/main">
      <mc:Choice Requires="a14">
        <xdr:graphicFrame macro="">
          <xdr:nvGraphicFramePr>
            <xdr:cNvPr id="3" name="StateSanitized">
              <a:extLst>
                <a:ext uri="{FF2B5EF4-FFF2-40B4-BE49-F238E27FC236}">
                  <a16:creationId xmlns:a16="http://schemas.microsoft.com/office/drawing/2014/main" id="{13023536-FEA7-D3E5-DB27-DC4518D6C531}"/>
                </a:ext>
              </a:extLst>
            </xdr:cNvPr>
            <xdr:cNvGraphicFramePr/>
          </xdr:nvGraphicFramePr>
          <xdr:xfrm>
            <a:off x="0" y="0"/>
            <a:ext cx="0" cy="0"/>
          </xdr:xfrm>
          <a:graphic>
            <a:graphicData uri="http://schemas.microsoft.com/office/drawing/2010/slicer">
              <sle:slicer xmlns:sle="http://schemas.microsoft.com/office/drawing/2010/slicer" name="StateSanitized"/>
            </a:graphicData>
          </a:graphic>
        </xdr:graphicFrame>
      </mc:Choice>
      <mc:Fallback xmlns="">
        <xdr:sp macro="" textlink="">
          <xdr:nvSpPr>
            <xdr:cNvPr id="0" name=""/>
            <xdr:cNvSpPr>
              <a:spLocks noTextEdit="1"/>
            </xdr:cNvSpPr>
          </xdr:nvSpPr>
          <xdr:spPr>
            <a:xfrm>
              <a:off x="9349740" y="3505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ovany Cesar" refreshedDate="46309.660416550927" createdVersion="8" refreshedVersion="8" minRefreshableVersion="3" recordCount="100" xr:uid="{BBB94827-57C4-4C13-8E3E-385E67C62E37}">
  <cacheSource type="worksheet">
    <worksheetSource ref="A1:L101" sheet="sanitized"/>
  </cacheSource>
  <cacheFields count="21">
    <cacheField name="sale_id" numFmtId="0">
      <sharedItems containsSemiMixedTypes="0" containsString="0" containsNumber="1" containsInteger="1" minValue="6" maxValue="105"/>
    </cacheField>
    <cacheField name="sale_date" numFmtId="0">
      <sharedItems containsDate="1" containsMixedTypes="1" minDate="2024-04-18T00:00:00" maxDate="2027-09-20T00:00:00"/>
    </cacheField>
    <cacheField name="SaleDateSanitized" numFmtId="0">
      <sharedItems/>
    </cacheField>
    <cacheField name="customer_name" numFmtId="0">
      <sharedItems/>
    </cacheField>
    <cacheField name="porsche_model" numFmtId="0">
      <sharedItems count="40">
        <s v="718 Cayman"/>
        <s v="911 Turbo S"/>
        <s v="Cayenne Coupe"/>
        <s v="Macan S"/>
        <s v="Taycan 4S"/>
        <s v="Panamera 4"/>
        <s v="911 Carrera S"/>
        <s v="Cayenne E-Hybrid"/>
        <s v="718 Boxster"/>
        <s v="Macan GTS"/>
        <s v="Taycan Turbo"/>
        <s v="911 GT3"/>
        <s v="Panamera Turbo S"/>
        <s v="Cayenne Turbo GT"/>
        <s v="911 Carrera Cabriolet"/>
        <s v="Macan"/>
        <s v="718 Spyder RS"/>
        <s v="Taycan Cross Turismo"/>
        <s v="Cayenne S"/>
        <s v="911 Targa 4S"/>
        <s v="Panamera"/>
        <s v="Macan Electric"/>
        <s v="911 Dakar"/>
        <s v="Taycan GTS"/>
        <s v="Cayenne"/>
        <s v="718 Cayman GT4 RS"/>
        <s v="911 Carrera GTS"/>
        <s v="Panamera 4 E-Hybrid"/>
        <s v="Macan T"/>
        <s v="Taycan Turbo S"/>
        <s v="911 Carrera"/>
        <s v="Taycan"/>
        <s v="Panamera 4S"/>
        <s v="911 Turbo"/>
        <s v="Panamera Turbo"/>
        <s v="911 GT3 RS"/>
        <s v="911 Targa 4"/>
        <s v="Cayenne Turbo"/>
        <s v="718 Boxster GTS"/>
        <s v="718 Cayman S"/>
      </sharedItems>
    </cacheField>
    <cacheField name="PorscheModelSanitized" numFmtId="0">
      <sharedItems/>
    </cacheField>
    <cacheField name="model_year" numFmtId="0">
      <sharedItems containsMixedTypes="1" containsNumber="1" containsInteger="1" minValue="2020" maxValue="2026"/>
    </cacheField>
    <cacheField name="ModelYearSanitized" numFmtId="0">
      <sharedItems containsSemiMixedTypes="0" containsString="0" containsNumber="1" containsInteger="1" minValue="2020" maxValue="2026"/>
    </cacheField>
    <cacheField name="sale_price" numFmtId="0">
      <sharedItems containsMixedTypes="1" containsNumber="1" containsInteger="1" minValue="73500" maxValue="73500"/>
    </cacheField>
    <cacheField name="SalesPriceSanitized" numFmtId="164">
      <sharedItems containsSemiMixedTypes="0" containsString="0" containsNumber="1" minValue="58900" maxValue="286500"/>
    </cacheField>
    <cacheField name="vehicle_mileage" numFmtId="0">
      <sharedItems containsMixedTypes="1" containsNumber="1" minValue="9.5" maxValue="42"/>
    </cacheField>
    <cacheField name="VehicleMileageSanitized" numFmtId="0">
      <sharedItems/>
    </cacheField>
    <cacheField name="payment_method" numFmtId="0">
      <sharedItems/>
    </cacheField>
    <cacheField name="PayMethodSanitized" numFmtId="0">
      <sharedItems count="9">
        <s v="Credit Card"/>
        <s v="Wire Transfer"/>
        <s v="Financing"/>
        <s v="Cash"/>
        <s v="Bank Transfer"/>
        <s v="Lease"/>
        <s v="Debit Card"/>
        <s v="ACH Payment"/>
        <s v="Crypto Payment"/>
      </sharedItems>
    </cacheField>
    <cacheField name="city" numFmtId="0">
      <sharedItems/>
    </cacheField>
    <cacheField name="CitySanitized" numFmtId="0">
      <sharedItems count="79">
        <s v="Boston"/>
        <s v="Seattle"/>
        <s v="Austin"/>
        <s v="Denver"/>
        <s v="Los Angeles"/>
        <s v="Miami"/>
        <s v="New York"/>
        <s v="San Diego"/>
        <s v="Chicago"/>
        <s v="Phoenix"/>
        <s v="Dallas"/>
        <s v="Las Vegas"/>
        <s v="San Jose"/>
        <s v="Houston"/>
        <s v="Atlanta"/>
        <s v="Orlando"/>
        <s v="Portland"/>
        <s v="Charlotte"/>
        <s v="Nashville"/>
        <s v="Minneapolis"/>
        <s v="Philadelphia"/>
        <s v="San Antonio"/>
        <s v="Salt Lake City"/>
        <s v="Raleigh"/>
        <s v="Detroit"/>
        <s v="Columbus"/>
        <s v="Indianapolis"/>
        <s v="Fort Worth"/>
        <s v="Jacksonville"/>
        <s v="Tampa"/>
        <s v="Sacramento"/>
        <s v="Cleveland"/>
        <s v="Milwaukee"/>
        <s v="Kansas City"/>
        <s v="Omaha"/>
        <s v="Albuquerque"/>
        <s v="Tucson"/>
        <s v="Fresno"/>
        <s v="Virginia Beach"/>
        <s v="Colorado Springs"/>
        <s v="Arlington"/>
        <s v="Bakersfield"/>
        <s v="Mesa"/>
        <s v="Long Beach"/>
        <s v="Oakland"/>
        <s v="Tulsa"/>
        <s v="Wichita"/>
        <s v="New Orleans"/>
        <s v="Honolulu"/>
        <s v="Anaheim"/>
        <s v="Henderson"/>
        <s v="Lexington"/>
        <s v="Riverside"/>
        <s v="Corpus Christi"/>
        <s v="St. Louis"/>
        <s v="Pittsburgh"/>
        <s v="Cincinnati"/>
        <s v="Anchorage"/>
        <s v="Plano"/>
        <s v="Newark"/>
        <s v="Greensboro"/>
        <s v="Lincoln"/>
        <s v="Jersey City"/>
        <s v="Chandler"/>
        <s v="Reno"/>
        <s v="Buffalo"/>
        <s v="Durham"/>
        <s v="Laredo"/>
        <s v="Madison"/>
        <s v="Lubbock"/>
        <s v="Toledo"/>
        <s v="Irvine"/>
        <s v="Garland"/>
        <s v="Irving"/>
        <s v="Chesapeake"/>
        <s v="Scottsdale"/>
        <s v="Norfolk"/>
        <s v="Boise"/>
        <s v="San Francisco"/>
      </sharedItems>
    </cacheField>
    <cacheField name="state" numFmtId="0">
      <sharedItems/>
    </cacheField>
    <cacheField name="StateSanitized" numFmtId="0">
      <sharedItems count="33">
        <s v="MA"/>
        <s v="WA"/>
        <s v="TX"/>
        <s v="CO"/>
        <s v="CA"/>
        <s v="FL"/>
        <s v="NY"/>
        <s v="IL"/>
        <s v="AZ"/>
        <s v="NV"/>
        <s v="GA"/>
        <s v="OR"/>
        <s v="NC"/>
        <s v="TN"/>
        <s v="MN"/>
        <s v="PA"/>
        <s v="UT"/>
        <s v="MI"/>
        <s v="OH"/>
        <s v="IN"/>
        <s v="WI"/>
        <s v="MO"/>
        <s v="NE"/>
        <s v="NM"/>
        <s v="VA"/>
        <s v="OK"/>
        <s v="KS"/>
        <s v="LA"/>
        <s v="HI"/>
        <s v="KY"/>
        <s v="AK"/>
        <s v="NJ"/>
        <s v="ID"/>
      </sharedItems>
    </cacheField>
    <cacheField name="salesperson" numFmtId="0">
      <sharedItems/>
    </cacheField>
    <cacheField name="delivery_status" numFmtId="0">
      <sharedItems/>
    </cacheField>
    <cacheField name="DeliveryStatusSanitized" numFmtId="0">
      <sharedItems count="10">
        <s v="Delivered"/>
        <s v="In Transit"/>
        <s v="Pending"/>
        <s v="Cancelled"/>
        <s v="Pending Approval"/>
        <s v="Shipped"/>
        <s v="Awaiting Delivery"/>
        <s v="Awaiting Pickup"/>
        <s v="Pending Review"/>
        <s v="Awaiting Review"/>
      </sharedItems>
    </cacheField>
  </cacheFields>
  <extLst>
    <ext xmlns:x14="http://schemas.microsoft.com/office/spreadsheetml/2009/9/main" uri="{725AE2AE-9491-48be-B2B4-4EB974FC3084}">
      <x14:pivotCacheDefinition pivotCacheId="17783014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6"/>
    <s v="2024-02-30"/>
    <s v="INVALID"/>
    <s v="Michael Adams"/>
    <x v="0"/>
    <s v="718 Cayman"/>
    <n v="2022"/>
    <n v="2022"/>
    <s v="$79,500.00"/>
    <n v="79500"/>
    <s v="9,800 miles"/>
    <s v="9800"/>
    <s v="Credit card"/>
    <x v="0"/>
    <s v="boston"/>
    <x v="0"/>
    <s v="ma"/>
    <x v="0"/>
    <s v="kevin"/>
    <s v="delivered"/>
    <x v="0"/>
  </r>
  <r>
    <n v="7"/>
    <s v="03/14/2024"/>
    <s v="2024-03-14"/>
    <s v="SOPHIA Miller"/>
    <x v="1"/>
    <s v="911 Turbo S"/>
    <s v="twenty twenty four"/>
    <n v="2024"/>
    <s v="235000 USD"/>
    <n v="235000"/>
    <s v="1.200 mi"/>
    <s v="1200"/>
    <s v="wire transfer"/>
    <x v="1"/>
    <s v="Seattle"/>
    <x v="1"/>
    <s v="Washington"/>
    <x v="1"/>
    <s v="AMANDA scott"/>
    <s v="delivered"/>
    <x v="0"/>
  </r>
  <r>
    <n v="8"/>
    <d v="2024-04-18T00:00:00"/>
    <s v="2024-04-18"/>
    <s v="Daniel-Jones"/>
    <x v="2"/>
    <s v="Cayenne Coupe"/>
    <n v="2023"/>
    <n v="2023"/>
    <s v="USD 112.750"/>
    <n v="112750"/>
    <s v="Miles: 6,400"/>
    <s v="6400"/>
    <s v="Financing plan"/>
    <x v="2"/>
    <s v="austin"/>
    <x v="2"/>
    <s v="tx"/>
    <x v="2"/>
    <s v="Brian Hall"/>
    <s v="in Transit"/>
    <x v="1"/>
  </r>
  <r>
    <n v="9"/>
    <s v="April 31st, 2024"/>
    <s v="INVALID"/>
    <s v="Olivia Brown"/>
    <x v="3"/>
    <s v="Macan S"/>
    <n v="2021"/>
    <n v="2021"/>
    <s v="68.900 dollars"/>
    <n v="68900"/>
    <n v="28"/>
    <s v="28"/>
    <s v="CASH"/>
    <x v="3"/>
    <s v="Denver"/>
    <x v="3"/>
    <s v="colorado"/>
    <x v="3"/>
    <s v="jessica"/>
    <s v="Pending"/>
    <x v="2"/>
  </r>
  <r>
    <n v="10"/>
    <d v="2024-05-22T00:00:00"/>
    <s v="2024-05-22"/>
    <s v="Ethan Wilson"/>
    <x v="4"/>
    <s v="Taycan 4S"/>
    <n v="2024"/>
    <n v="2024"/>
    <s v="$121k"/>
    <n v="121000"/>
    <s v="zero miles"/>
    <s v="0"/>
    <s v="bank-transfer"/>
    <x v="4"/>
    <s v="los angeles"/>
    <x v="4"/>
    <s v="ca"/>
    <x v="4"/>
    <s v="Thomas King"/>
    <s v="delivered!!!"/>
    <x v="0"/>
  </r>
  <r>
    <n v="11"/>
    <d v="2024-08-06T00:00:00"/>
    <s v="2024-08-06"/>
    <s v="Ava Martinez"/>
    <x v="5"/>
    <s v="Panamera 4"/>
    <s v="20-23"/>
    <n v="2023"/>
    <s v="104,500 USD"/>
    <n v="104500"/>
    <s v="14.500 miles"/>
    <s v="14500"/>
    <s v="Credit card"/>
    <x v="0"/>
    <s v="Miami"/>
    <x v="5"/>
    <s v="FL"/>
    <x v="5"/>
    <s v="LISA ray"/>
    <s v="cancelled"/>
    <x v="3"/>
  </r>
  <r>
    <n v="12"/>
    <s v="2024.07.11"/>
    <s v="2024-07-11"/>
    <s v="Noah Davis"/>
    <x v="6"/>
    <s v="911 Carrera S"/>
    <n v="2020"/>
    <n v="2020"/>
    <s v="USD $96,300"/>
    <n v="96300"/>
    <s v="41,000mi"/>
    <s v="41000"/>
    <s v="lease"/>
    <x v="5"/>
    <s v="new york"/>
    <x v="6"/>
    <s v="New York"/>
    <x v="6"/>
    <s v="Mark Evans"/>
    <s v="DELIVERD"/>
    <x v="0"/>
  </r>
  <r>
    <n v="13"/>
    <s v="2024/15/07"/>
    <s v="INVALID"/>
    <s v="Isabella Garcia"/>
    <x v="7"/>
    <s v="Cayenne E-Hybrid"/>
    <n v="2022"/>
    <n v="2022"/>
    <s v="$89.750,00"/>
    <n v="89750"/>
    <s v="KM 18,900"/>
    <s v="11744"/>
    <s v="bank wire"/>
    <x v="1"/>
    <s v="San Diego"/>
    <x v="7"/>
    <s v="ca"/>
    <x v="4"/>
    <s v="nancy reed"/>
    <s v="pending approval"/>
    <x v="4"/>
  </r>
  <r>
    <n v="14"/>
    <s v="08/19/24"/>
    <s v="2024-08-19"/>
    <s v="Liam Rodriguez"/>
    <x v="8"/>
    <s v="718 Boxster"/>
    <s v="two thousand twenty one"/>
    <n v="2021"/>
    <n v="73500"/>
    <n v="73500"/>
    <s v="22,300 miles"/>
    <s v="22300"/>
    <s v="debit card"/>
    <x v="6"/>
    <s v="chicago"/>
    <x v="8"/>
    <s v="IL"/>
    <x v="7"/>
    <s v="George Bell"/>
    <s v="shipped"/>
    <x v="5"/>
  </r>
  <r>
    <n v="15"/>
    <d v="2024-09-02T00:00:00"/>
    <s v="2024-09-02"/>
    <s v="Mia Hernandez"/>
    <x v="9"/>
    <s v="Macan GTS"/>
    <n v="2024"/>
    <n v="2024"/>
    <s v="95,000 dollars"/>
    <n v="95000"/>
    <s v="3.500 mi"/>
    <s v="3500"/>
    <s v="Financing"/>
    <x v="2"/>
    <s v="phoenix"/>
    <x v="9"/>
    <s v="arizona"/>
    <x v="8"/>
    <s v="Helen Brooks"/>
    <s v="in Transit"/>
    <x v="1"/>
  </r>
  <r>
    <n v="16"/>
    <s v="September 17, 2024"/>
    <s v="2024-09-17"/>
    <s v="James Lopez"/>
    <x v="10"/>
    <s v="Taycan Turbo"/>
    <n v="2023"/>
    <n v="2023"/>
    <s v="$153,200.50"/>
    <n v="153200.5"/>
    <n v="11"/>
    <s v="11"/>
    <s v="ACH payment"/>
    <x v="7"/>
    <s v="dallas"/>
    <x v="10"/>
    <s v="tx"/>
    <x v="2"/>
    <s v="samuel price"/>
    <s v="delivered"/>
    <x v="0"/>
  </r>
  <r>
    <n v="17"/>
    <s v="2024-10-40"/>
    <s v="INVALID"/>
    <s v="Charlotte Young"/>
    <x v="11"/>
    <s v="911 GT3"/>
    <n v="2024"/>
    <n v="2024"/>
    <s v="USD 241.000"/>
    <n v="241000"/>
    <s v="750 miles"/>
    <s v="750"/>
    <s v="WireTransfer"/>
    <x v="1"/>
    <s v="Las Vegas"/>
    <x v="11"/>
    <s v="NV"/>
    <x v="9"/>
    <s v="PETER Ford"/>
    <s v="Pending"/>
    <x v="2"/>
  </r>
  <r>
    <n v="18"/>
    <d v="2024-05-11T00:00:00"/>
    <s v="2024-05-11"/>
    <s v="Benjamin Allen"/>
    <x v="12"/>
    <s v="Panamera Turbo S"/>
    <n v="2022"/>
    <n v="2022"/>
    <s v="$132000"/>
    <n v="132000"/>
    <s v="19,250 mi."/>
    <s v="19250"/>
    <s v="CASH"/>
    <x v="3"/>
    <s v="san jose"/>
    <x v="12"/>
    <s v="california"/>
    <x v="4"/>
    <s v="Angela Green"/>
    <s v="delivered."/>
    <x v="0"/>
  </r>
  <r>
    <n v="19"/>
    <d v="2024-12-12T00:00:00"/>
    <s v="2024-12-12"/>
    <s v="Amelia King"/>
    <x v="13"/>
    <s v="Cayenne Turbo GT"/>
    <n v="2024"/>
    <n v="2024"/>
    <s v="188k USD"/>
    <n v="188000"/>
    <s v="2,100 miles"/>
    <s v="2100"/>
    <s v="crypto payment"/>
    <x v="8"/>
    <s v="Houston"/>
    <x v="13"/>
    <s v="Texas"/>
    <x v="2"/>
    <s v="Victor Stone"/>
    <s v="awaiting delivery"/>
    <x v="6"/>
  </r>
  <r>
    <n v="20"/>
    <s v="Dec 25th 2024"/>
    <s v="2024-12-25"/>
    <s v="Lucas Wright"/>
    <x v="14"/>
    <s v="911 Carrera"/>
    <n v="2023"/>
    <n v="2023"/>
    <s v="$127,800"/>
    <n v="127800"/>
    <s v="twelve thousand miles"/>
    <s v="12000"/>
    <s v="CreditCard"/>
    <x v="0"/>
    <s v="atlanta"/>
    <x v="14"/>
    <s v="ga"/>
    <x v="10"/>
    <s v="rachel turner"/>
    <s v="delivered"/>
    <x v="0"/>
  </r>
  <r>
    <n v="21"/>
    <d v="2025-01-06T00:00:00"/>
    <s v="2025-01-06"/>
    <s v="Harper Scott"/>
    <x v="15"/>
    <s v="Macan"/>
    <n v="2021"/>
    <n v="2021"/>
    <s v="USD 58,900.00"/>
    <n v="58900"/>
    <s v="33.700 miles"/>
    <s v="33700"/>
    <s v="Bank Transfer"/>
    <x v="4"/>
    <s v="Orlando"/>
    <x v="15"/>
    <s v="Florida"/>
    <x v="5"/>
    <s v="Chris Moore"/>
    <s v="Pending"/>
    <x v="2"/>
  </r>
  <r>
    <n v="22"/>
    <s v="01/32/2025"/>
    <s v="INVALID"/>
    <s v="Henry Torres"/>
    <x v="16"/>
    <s v="718 Spyder RS"/>
    <n v="2024"/>
    <n v="2024"/>
    <s v="$164,000"/>
    <n v="164000"/>
    <s v="900 mi"/>
    <s v="900"/>
    <s v="finance"/>
    <x v="2"/>
    <s v="portland"/>
    <x v="16"/>
    <s v="OR"/>
    <x v="11"/>
    <s v="LAURA Hill"/>
    <s v="in-transit"/>
    <x v="1"/>
  </r>
  <r>
    <n v="23"/>
    <d v="2025-02-14T00:00:00"/>
    <s v="2025-02-14"/>
    <s v="Evelyn Nguyen"/>
    <x v="17"/>
    <s v="Taycan Cross Turismo"/>
    <s v="twenty twenty three"/>
    <n v="2023"/>
    <s v="118500 USD"/>
    <n v="118500"/>
    <s v="7,800mi"/>
    <s v="7800"/>
    <s v="wire"/>
    <x v="1"/>
    <s v="Charlotte"/>
    <x v="17"/>
    <s v="nc"/>
    <x v="12"/>
    <s v="Martin Young"/>
    <s v="delivered"/>
    <x v="0"/>
  </r>
  <r>
    <n v="24"/>
    <s v="February 29th, 2025"/>
    <s v="INVALID"/>
    <s v="Alexander Flores"/>
    <x v="18"/>
    <s v="Cayenne S"/>
    <n v="2022"/>
    <n v="2022"/>
    <s v="91.300 dollars"/>
    <n v="91300"/>
    <s v="16,000 miles"/>
    <s v="16000"/>
    <s v="credit card payment"/>
    <x v="0"/>
    <s v="nashville"/>
    <x v="18"/>
    <s v="TN"/>
    <x v="13"/>
    <s v="Diana Cooper"/>
    <s v="pending!!"/>
    <x v="2"/>
  </r>
  <r>
    <n v="25"/>
    <d v="2025-03-21T00:00:00"/>
    <s v="2025-03-21"/>
    <s v="Abigail Carter"/>
    <x v="19"/>
    <s v="911 Targa 4S"/>
    <s v="20 24"/>
    <n v="2024"/>
    <s v="$158.750"/>
    <n v="158750"/>
    <s v="2.500 mi"/>
    <s v="2500"/>
    <s v="Leasing"/>
    <x v="5"/>
    <s v="minneapolis"/>
    <x v="19"/>
    <s v="minnesota"/>
    <x v="14"/>
    <s v="Steve Gray"/>
    <s v="delivered"/>
    <x v="0"/>
  </r>
  <r>
    <n v="26"/>
    <s v="03/28/25"/>
    <s v="2025-03-28"/>
    <s v="Jack Mitchell"/>
    <x v="20"/>
    <s v="Panamera"/>
    <n v="2020"/>
    <n v="2020"/>
    <s v="USD 72,000"/>
    <n v="72000"/>
    <s v="49,000 miles"/>
    <s v="49000"/>
    <s v="bank_transfer"/>
    <x v="4"/>
    <s v="Philadelphia"/>
    <x v="20"/>
    <s v="pa"/>
    <x v="15"/>
    <s v="Olivia Ross"/>
    <s v="cancelled"/>
    <x v="3"/>
  </r>
  <r>
    <n v="27"/>
    <d v="2025-04-09T00:00:00"/>
    <s v="2025-04-09"/>
    <s v="Emily Perez"/>
    <x v="21"/>
    <s v="Macan Electric"/>
    <n v="2025"/>
    <n v="2025"/>
    <s v="$86,500.00"/>
    <n v="86500"/>
    <s v="new"/>
    <s v="0"/>
    <s v="wire transfer"/>
    <x v="1"/>
    <s v="san antonio"/>
    <x v="21"/>
    <s v="tx"/>
    <x v="2"/>
    <s v="Patrick Wood"/>
    <s v="delivered"/>
    <x v="0"/>
  </r>
  <r>
    <n v="28"/>
    <s v="2025/04/31"/>
    <s v="INVALID"/>
    <s v="William Roberts"/>
    <x v="22"/>
    <s v="911 Dakar"/>
    <n v="2024"/>
    <n v="2024"/>
    <s v="270000 usd"/>
    <n v="270000"/>
    <s v="1,050 miles"/>
    <s v="1050"/>
    <s v="cash payment"/>
    <x v="3"/>
    <s v="Salt Lake City"/>
    <x v="22"/>
    <s v="utah"/>
    <x v="16"/>
    <s v="Karen Diaz"/>
    <s v="awaiting pickup"/>
    <x v="7"/>
  </r>
  <r>
    <n v="29"/>
    <s v="May 12, 2025"/>
    <s v="2025-05-12"/>
    <s v="Sofia Turner"/>
    <x v="23"/>
    <s v="Taycan GTS"/>
    <n v="2023"/>
    <n v="2023"/>
    <s v="$139k"/>
    <n v="139000"/>
    <s v="6.250 miles"/>
    <s v="6250"/>
    <s v="Financing plan"/>
    <x v="2"/>
    <s v="Raleigh"/>
    <x v="23"/>
    <s v="nc"/>
    <x v="12"/>
    <s v="Justin Cox"/>
    <s v="in Transit"/>
    <x v="1"/>
  </r>
  <r>
    <n v="30"/>
    <d v="2025-06-18T00:00:00"/>
    <s v="2025-06-18"/>
    <s v="Mason Phillips"/>
    <x v="24"/>
    <s v="Cayenne"/>
    <n v="2021"/>
    <n v="2021"/>
    <s v="76,800 USD"/>
    <n v="76800"/>
    <s v="38,400mi"/>
    <s v="38400"/>
    <s v="credit"/>
    <x v="0"/>
    <s v="Detroit"/>
    <x v="24"/>
    <s v="Michigan"/>
    <x v="17"/>
    <s v="Betty Ward"/>
    <s v="delivered!!!"/>
    <x v="0"/>
  </r>
  <r>
    <n v="31"/>
    <s v="06/31/2025"/>
    <s v="INVALID"/>
    <s v="Ella Campbell"/>
    <x v="25"/>
    <s v="718 Cayman GT4 RS"/>
    <n v="2024"/>
    <n v="2024"/>
    <s v="USD $173,600"/>
    <n v="173600"/>
    <s v="400 miles"/>
    <s v="400"/>
    <s v="wire-transfer"/>
    <x v="1"/>
    <s v="Columbus"/>
    <x v="25"/>
    <s v="oh"/>
    <x v="18"/>
    <s v="Gary Reed"/>
    <s v="Pending"/>
    <x v="2"/>
  </r>
  <r>
    <n v="32"/>
    <s v="2025.07.07"/>
    <s v="2025-07-07"/>
    <s v="Logan Parker"/>
    <x v="26"/>
    <s v="911 Carrera GTS"/>
    <s v="twenty twenty two"/>
    <n v="2022"/>
    <s v="119.900 USD"/>
    <n v="119900"/>
    <s v="13,600 miles"/>
    <s v="13600"/>
    <s v="cash payment"/>
    <x v="3"/>
    <s v="indianapolis"/>
    <x v="26"/>
    <s v="Indiana"/>
    <x v="19"/>
    <s v="maria foster"/>
    <s v="delivered"/>
    <x v="0"/>
  </r>
  <r>
    <n v="33"/>
    <s v="July 22nd, 2025"/>
    <s v="2025-07-22"/>
    <s v="Grace Evans"/>
    <x v="27"/>
    <s v="Panamera 4 E-Hybrid"/>
    <n v="2023"/>
    <n v="2023"/>
    <s v="$109,250.00"/>
    <n v="109250"/>
    <s v="Miles 8.900"/>
    <s v="8900"/>
    <s v="lease plan"/>
    <x v="5"/>
    <s v="Fort Worth"/>
    <x v="27"/>
    <s v="tx"/>
    <x v="2"/>
    <s v="Harold Bennett"/>
    <s v="in Transit"/>
    <x v="1"/>
  </r>
  <r>
    <n v="34"/>
    <d v="2025-08-14T00:00:00"/>
    <s v="2025-08-14"/>
    <s v="Jacob Edwards"/>
    <x v="28"/>
    <s v="Macan T"/>
    <n v="2022"/>
    <n v="2022"/>
    <s v="eighty two thousand USD"/>
    <n v="82000"/>
    <s v="21,750 mi"/>
    <s v="21750"/>
    <s v="bank wire"/>
    <x v="1"/>
    <s v="Jacksonville"/>
    <x v="28"/>
    <s v="FL"/>
    <x v="5"/>
    <s v="Teresa Cook"/>
    <s v="delivered"/>
    <x v="0"/>
  </r>
  <r>
    <n v="35"/>
    <d v="2025-09-01T00:00:00"/>
    <s v="2025-09-01"/>
    <s v="Victoria Collins"/>
    <x v="29"/>
    <s v="Taycan Turbo S"/>
    <n v="2025"/>
    <n v="2025"/>
    <s v="$214,000"/>
    <n v="214000"/>
    <s v="0 miles"/>
    <s v="0"/>
    <s v="Crypto"/>
    <x v="8"/>
    <s v="San Diego"/>
    <x v="7"/>
    <s v="california"/>
    <x v="4"/>
    <s v="Frank Morgan"/>
    <s v="pending review"/>
    <x v="8"/>
  </r>
  <r>
    <n v="36"/>
    <s v="2025-09-31"/>
    <s v="INVALID"/>
    <s v="Andrew Simmons"/>
    <x v="30"/>
    <s v="911 Carrera"/>
    <n v="2024"/>
    <n v="2024"/>
    <s v="$124,500.00"/>
    <n v="124500"/>
    <s v="4,800 miles"/>
    <s v="4800"/>
    <s v="Credit card"/>
    <x v="0"/>
    <s v="tampa"/>
    <x v="29"/>
    <s v="FL"/>
    <x v="5"/>
    <s v="natalie"/>
    <s v="delivered"/>
    <x v="0"/>
  </r>
  <r>
    <n v="37"/>
    <s v="09/18/25"/>
    <s v="2025-09-18"/>
    <s v="Chloe Bennett"/>
    <x v="18"/>
    <s v="Cayenne S"/>
    <s v="twenty twenty three"/>
    <n v="2023"/>
    <s v="98,200 USD"/>
    <n v="98200"/>
    <s v="12.200 mi"/>
    <s v="12200"/>
    <s v="Bank Transfer"/>
    <x v="4"/>
    <s v="Sacramento"/>
    <x v="30"/>
    <s v="california"/>
    <x v="4"/>
    <s v="ERIC woods"/>
    <s v="Pending"/>
    <x v="2"/>
  </r>
  <r>
    <n v="38"/>
    <d v="2025-10-04T00:00:00"/>
    <s v="2025-10-04"/>
    <s v="Ryan-Cooper"/>
    <x v="15"/>
    <s v="Macan"/>
    <n v="2022"/>
    <n v="2022"/>
    <s v="USD 67.500"/>
    <n v="67500"/>
    <s v="Miles: 24,100"/>
    <s v="24100"/>
    <s v="Financing"/>
    <x v="2"/>
    <s v="cleveland"/>
    <x v="31"/>
    <s v="oh"/>
    <x v="18"/>
    <s v="Patricia Fox"/>
    <s v="delivered"/>
    <x v="0"/>
  </r>
  <r>
    <n v="39"/>
    <s v="October 12th, 2025"/>
    <s v="2025-10-12"/>
    <s v="Hannah Reed"/>
    <x v="31"/>
    <s v="Taycan"/>
    <n v="2025"/>
    <n v="2025"/>
    <s v="116.900 dollars"/>
    <n v="116900"/>
    <s v="zero miles"/>
    <s v="0"/>
    <s v="wire transfer"/>
    <x v="1"/>
    <s v="Milwaukee"/>
    <x v="32"/>
    <s v="Wisconsin"/>
    <x v="20"/>
    <s v="alan price"/>
    <s v="in Transit"/>
    <x v="1"/>
  </r>
  <r>
    <n v="40"/>
    <d v="2025-10-29T00:00:00"/>
    <s v="2025-10-29"/>
    <s v="Dylan Parker"/>
    <x v="32"/>
    <s v="Panamera 4S"/>
    <s v="20-24"/>
    <n v="2024"/>
    <s v="$112k"/>
    <n v="112000"/>
    <n v="9.5"/>
    <s v="9"/>
    <s v="cash payment"/>
    <x v="3"/>
    <s v="Kansas City"/>
    <x v="33"/>
    <s v="MO"/>
    <x v="21"/>
    <s v="Sandra Hill"/>
    <s v="delivered!!!"/>
    <x v="0"/>
  </r>
  <r>
    <n v="41"/>
    <d v="2025-02-11T00:00:00"/>
    <s v="2025-02-11"/>
    <s v="Lily Coleman"/>
    <x v="8"/>
    <s v="718 Boxster"/>
    <n v="2021"/>
    <n v="2021"/>
    <s v="74,000 USD"/>
    <n v="74000"/>
    <s v="31.000 miles"/>
    <s v="31000"/>
    <s v="debit card"/>
    <x v="6"/>
    <s v="omaha"/>
    <x v="34"/>
    <s v="ne"/>
    <x v="22"/>
    <s v="Victor Lee"/>
    <s v="cancelled"/>
    <x v="3"/>
  </r>
  <r>
    <n v="42"/>
    <s v="2025.11.16"/>
    <s v="2025-11-16"/>
    <s v="Nathan Hughes"/>
    <x v="33"/>
    <s v="911 Turbo"/>
    <s v="twenty twenty four"/>
    <n v="2024"/>
    <s v="USD $198,300"/>
    <n v="198300"/>
    <s v="2,400mi"/>
    <s v="2400"/>
    <s v="wire-transfer"/>
    <x v="1"/>
    <s v="Albuquerque"/>
    <x v="35"/>
    <s v="New Mexico"/>
    <x v="23"/>
    <s v="monica"/>
    <s v="awaiting delivery"/>
    <x v="6"/>
  </r>
  <r>
    <n v="43"/>
    <s v="2025/18/11"/>
    <s v="INVALID"/>
    <s v="Zoe Foster"/>
    <x v="2"/>
    <s v="Cayenne Coupe"/>
    <n v="2023"/>
    <n v="2023"/>
    <s v="$103.750,00"/>
    <n v="103750"/>
    <s v="KM 10,900"/>
    <s v="6773"/>
    <s v="bank wire"/>
    <x v="1"/>
    <s v="Tucson"/>
    <x v="36"/>
    <s v="AZ"/>
    <x v="8"/>
    <s v="Gregory Adams"/>
    <s v="pending approval"/>
    <x v="4"/>
  </r>
  <r>
    <n v="44"/>
    <s v="November 31st, 2025"/>
    <s v="INVALID"/>
    <s v="Caleb Ward"/>
    <x v="9"/>
    <s v="Macan GTS"/>
    <n v="2024"/>
    <n v="2024"/>
    <s v="93,600 dollars"/>
    <n v="93600"/>
    <s v="5.800 mi"/>
    <s v="5800"/>
    <s v="Financing plan"/>
    <x v="2"/>
    <s v="fresno"/>
    <x v="37"/>
    <s v="ca"/>
    <x v="4"/>
    <s v="Laura West"/>
    <s v="shipped"/>
    <x v="5"/>
  </r>
  <r>
    <n v="45"/>
    <d v="2025-12-07T00:00:00"/>
    <s v="2025-12-07"/>
    <s v="Stella Brooks"/>
    <x v="4"/>
    <s v="Taycan 4S"/>
    <n v="2025"/>
    <n v="2025"/>
    <s v="$129k"/>
    <n v="129000"/>
    <s v="new"/>
    <s v="0"/>
    <s v="ACH payment"/>
    <x v="7"/>
    <s v="Virginia Beach"/>
    <x v="38"/>
    <s v="VA"/>
    <x v="24"/>
    <s v="Henry King"/>
    <s v="in Transit"/>
    <x v="1"/>
  </r>
  <r>
    <n v="46"/>
    <s v="12-22-25"/>
    <s v="2025-12-22"/>
    <s v="Owen Bryant"/>
    <x v="34"/>
    <s v="Panamera Turbo"/>
    <n v="2022"/>
    <n v="2022"/>
    <s v="USD 136.000"/>
    <n v="136000"/>
    <s v="18,400 miles"/>
    <s v="18400"/>
    <s v="CreditCard"/>
    <x v="0"/>
    <s v="colorado springs"/>
    <x v="39"/>
    <s v="colorado"/>
    <x v="3"/>
    <s v="amber clark"/>
    <s v="delivered"/>
    <x v="0"/>
  </r>
  <r>
    <n v="47"/>
    <s v="2025-12-40"/>
    <s v="INVALID"/>
    <s v="Nora Simmons"/>
    <x v="35"/>
    <s v="911 GT3 RS"/>
    <n v="2024"/>
    <n v="2024"/>
    <s v="$286,500"/>
    <n v="286500"/>
    <s v="700 miles"/>
    <s v="700"/>
    <s v="WireTransfer"/>
    <x v="1"/>
    <s v="Arlington"/>
    <x v="40"/>
    <s v="tx"/>
    <x v="2"/>
    <s v="PETER Lane"/>
    <s v="Pending"/>
    <x v="2"/>
  </r>
  <r>
    <n v="48"/>
    <s v="Jan 8th 2026"/>
    <s v="2026-01-08"/>
    <s v="Isaac Butler"/>
    <x v="7"/>
    <s v="Cayenne E-Hybrid"/>
    <n v="2023"/>
    <n v="2023"/>
    <s v="92.800 USD"/>
    <n v="92800"/>
    <s v="fifteen thousand miles"/>
    <s v="15000"/>
    <s v="lease"/>
    <x v="5"/>
    <s v="Bakersfield"/>
    <x v="41"/>
    <s v="ca"/>
    <x v="4"/>
    <s v="Grace Morris"/>
    <s v="delivered."/>
    <x v="0"/>
  </r>
  <r>
    <n v="49"/>
    <d v="2026-01-15T00:00:00"/>
    <s v="2026-01-15"/>
    <s v="Leah Henderson"/>
    <x v="28"/>
    <s v="Macan T"/>
    <n v="2022"/>
    <n v="2022"/>
    <s v="$72,400.00"/>
    <n v="72400"/>
    <s v="19,750 mi."/>
    <s v="19750"/>
    <s v="CASH"/>
    <x v="3"/>
    <s v="Mesa"/>
    <x v="42"/>
    <s v="arizona"/>
    <x v="8"/>
    <s v="Kyle Perry"/>
    <s v="awaiting pickup"/>
    <x v="7"/>
  </r>
  <r>
    <n v="50"/>
    <s v="01/28/2026"/>
    <s v="2026-01-28"/>
    <s v="Christian Bailey"/>
    <x v="10"/>
    <s v="Taycan Turbo"/>
    <s v="twenty twenty five"/>
    <n v="2025"/>
    <s v="158500 USD"/>
    <n v="158500"/>
    <s v="3,200 miles"/>
    <s v="3200"/>
    <s v="crypto payment"/>
    <x v="8"/>
    <s v="Atlanta"/>
    <x v="14"/>
    <s v="ga"/>
    <x v="10"/>
    <s v="megan reed"/>
    <s v="delivered"/>
    <x v="0"/>
  </r>
  <r>
    <n v="51"/>
    <d v="2026-02-03T00:00:00"/>
    <s v="2026-02-03"/>
    <s v="Audrey Russell"/>
    <x v="0"/>
    <s v="718 Cayman"/>
    <n v="2021"/>
    <n v="2021"/>
    <s v="USD 69,900.00"/>
    <n v="69900"/>
    <s v="27.600 miles"/>
    <s v="27600"/>
    <s v="Bank Transfer"/>
    <x v="4"/>
    <s v="long beach"/>
    <x v="43"/>
    <s v="ca"/>
    <x v="4"/>
    <s v="Carl Simmons"/>
    <s v="Pending"/>
    <x v="2"/>
  </r>
  <r>
    <n v="52"/>
    <s v="February 30th, 2026"/>
    <s v="INVALID"/>
    <s v="Hunter Griffin"/>
    <x v="36"/>
    <s v="911 Targa 4"/>
    <n v="2024"/>
    <n v="2024"/>
    <s v="$141.250"/>
    <n v="141250"/>
    <s v="2.100 mi"/>
    <s v="2100"/>
    <s v="finance"/>
    <x v="2"/>
    <s v="Oakland"/>
    <x v="44"/>
    <s v="california"/>
    <x v="4"/>
    <s v="LINDA cole"/>
    <s v="in-transit"/>
    <x v="1"/>
  </r>
  <r>
    <n v="53"/>
    <d v="2026-02-19T00:00:00"/>
    <s v="2026-02-19"/>
    <s v="Scarlett Diaz"/>
    <x v="20"/>
    <s v="Panamera"/>
    <n v="2020"/>
    <n v="2020"/>
    <s v="71,500 dollars"/>
    <n v="71500"/>
    <s v="52,000 miles"/>
    <s v="52000"/>
    <s v="wire"/>
    <x v="1"/>
    <s v="Tulsa"/>
    <x v="45"/>
    <s v="OK"/>
    <x v="25"/>
    <s v="Martin Brooks"/>
    <s v="delivered"/>
    <x v="0"/>
  </r>
  <r>
    <n v="54"/>
    <s v="02/25/26"/>
    <s v="2026-02-25"/>
    <s v="Eli Jenkins"/>
    <x v="37"/>
    <s v="Cayenne Turbo"/>
    <s v="20 23"/>
    <n v="2023"/>
    <s v="USD $146,800"/>
    <n v="146800"/>
    <s v="Miles 11.300"/>
    <s v="11300"/>
    <s v="credit card payment"/>
    <x v="0"/>
    <s v="Wichita"/>
    <x v="46"/>
    <s v="Kansas"/>
    <x v="26"/>
    <s v="Diana Long"/>
    <s v="pending!!"/>
    <x v="2"/>
  </r>
  <r>
    <n v="55"/>
    <s v="2026.03.01"/>
    <s v="2026-03-01"/>
    <s v="Madison Powell"/>
    <x v="21"/>
    <s v="Macan Electric"/>
    <n v="2025"/>
    <n v="2025"/>
    <s v="$89,700"/>
    <n v="89700"/>
    <s v="0 miles"/>
    <s v="0"/>
    <s v="Leasing"/>
    <x v="5"/>
    <s v="new orleans"/>
    <x v="47"/>
    <s v="la"/>
    <x v="27"/>
    <s v="Steve Ross"/>
    <s v="delivered"/>
    <x v="0"/>
  </r>
  <r>
    <n v="56"/>
    <d v="2026-03-14T00:00:00"/>
    <s v="2026-03-14"/>
    <s v="Adrian Sanders"/>
    <x v="6"/>
    <s v="911 Carrera S"/>
    <s v="twenty twenty two"/>
    <n v="2022"/>
    <s v="104.600 USD"/>
    <n v="104600"/>
    <s v="15,900mi"/>
    <s v="15900"/>
    <s v="bank_transfer"/>
    <x v="4"/>
    <s v="Honolulu"/>
    <x v="48"/>
    <s v="HI"/>
    <x v="28"/>
    <s v="Olivia Cruz"/>
    <s v="cancelled"/>
    <x v="3"/>
  </r>
  <r>
    <n v="57"/>
    <s v="03/32/2026"/>
    <s v="INVALID"/>
    <s v="Penelope Barnes"/>
    <x v="23"/>
    <s v="Taycan GTS"/>
    <n v="2024"/>
    <n v="2024"/>
    <s v="$142,000"/>
    <n v="142000"/>
    <s v="6,600 miles"/>
    <s v="6600"/>
    <s v="wire transfer"/>
    <x v="1"/>
    <s v="Anaheim"/>
    <x v="49"/>
    <s v="ca"/>
    <x v="4"/>
    <s v="Patrick Wood"/>
    <s v="delivered"/>
    <x v="0"/>
  </r>
  <r>
    <n v="58"/>
    <d v="2026-04-08T00:00:00"/>
    <s v="2026-04-08"/>
    <s v="Nolan Fisher"/>
    <x v="24"/>
    <s v="Cayenne"/>
    <n v="2021"/>
    <n v="2021"/>
    <s v="78,400 usd"/>
    <n v="78400"/>
    <s v="40,250 miles"/>
    <s v="40250"/>
    <s v="CASH"/>
    <x v="3"/>
    <s v="Henderson"/>
    <x v="50"/>
    <s v="Nevada"/>
    <x v="9"/>
    <s v="Karen Stone"/>
    <s v="awaiting review"/>
    <x v="9"/>
  </r>
  <r>
    <n v="59"/>
    <s v="April 31st, 2026"/>
    <s v="INVALID"/>
    <s v="Layla Marshall"/>
    <x v="16"/>
    <s v="718 Spyder RS"/>
    <n v="2025"/>
    <n v="2025"/>
    <s v="$169k"/>
    <n v="169000"/>
    <s v="850 mi"/>
    <s v="850"/>
    <s v="Financing plan"/>
    <x v="2"/>
    <s v="Lexington"/>
    <x v="51"/>
    <s v="KY"/>
    <x v="29"/>
    <s v="justin fox"/>
    <s v="in Transit"/>
    <x v="1"/>
  </r>
  <r>
    <n v="60"/>
    <d v="2026-04-21T00:00:00"/>
    <s v="2026-04-21"/>
    <s v="Gabriel Owens"/>
    <x v="22"/>
    <s v="911 Dakar"/>
    <n v="2024"/>
    <n v="2024"/>
    <s v="USD 268.900"/>
    <n v="268900"/>
    <s v="1.400 miles"/>
    <s v="1400"/>
    <s v="credit"/>
    <x v="0"/>
    <s v="Riverside"/>
    <x v="52"/>
    <s v="California"/>
    <x v="4"/>
    <s v="Betty James"/>
    <s v="delivered!!!"/>
    <x v="0"/>
  </r>
  <r>
    <n v="61"/>
    <s v="04/29/26"/>
    <s v="2026-04-29"/>
    <s v="Victoria Hart"/>
    <x v="5"/>
    <s v="Panamera 4"/>
    <n v="2023"/>
    <n v="2023"/>
    <s v="$101,300.00"/>
    <n v="101300"/>
    <s v="12,700mi"/>
    <s v="12700"/>
    <s v="wire-transfer"/>
    <x v="1"/>
    <s v="Corpus Christi"/>
    <x v="53"/>
    <s v="TX"/>
    <x v="2"/>
    <s v="Gary Price"/>
    <s v="Pending"/>
    <x v="2"/>
  </r>
  <r>
    <n v="62"/>
    <s v="2026.05.05"/>
    <s v="2026-05-05"/>
    <s v="Julian Stone"/>
    <x v="3"/>
    <s v="Macan S"/>
    <s v="twenty twenty one"/>
    <n v="2021"/>
    <s v="66.750 USD"/>
    <n v="66750"/>
    <s v="29,800 miles"/>
    <s v="29800"/>
    <s v="cash payment"/>
    <x v="3"/>
    <s v="St. Louis"/>
    <x v="54"/>
    <s v="Missouri"/>
    <x v="21"/>
    <s v="maria green"/>
    <s v="delivered"/>
    <x v="0"/>
  </r>
  <r>
    <n v="63"/>
    <s v="May 14th, 2026"/>
    <s v="2026-05-14"/>
    <s v="Brooklyn Webb"/>
    <x v="17"/>
    <s v="Taycan Cross Turismo"/>
    <n v="2024"/>
    <n v="2024"/>
    <s v="$127,900"/>
    <n v="127900"/>
    <s v="Miles: 7.500"/>
    <s v="7500"/>
    <s v="lease plan"/>
    <x v="5"/>
    <s v="Pittsburgh"/>
    <x v="55"/>
    <s v="PA"/>
    <x v="15"/>
    <s v="Harold Young"/>
    <s v="in Transit"/>
    <x v="1"/>
  </r>
  <r>
    <n v="64"/>
    <d v="2026-05-23T00:00:00"/>
    <s v="2026-05-23"/>
    <s v="Aaron Kim"/>
    <x v="13"/>
    <s v="Cayenne Turbo GT"/>
    <n v="2025"/>
    <n v="2025"/>
    <s v="two hundred thousand USD"/>
    <n v="200000"/>
    <s v="1,950 mi"/>
    <s v="1950"/>
    <s v="bank wire"/>
    <x v="1"/>
    <s v="Cincinnati"/>
    <x v="56"/>
    <s v="oh"/>
    <x v="18"/>
    <s v="Teresa Ward"/>
    <s v="delivered"/>
    <x v="0"/>
  </r>
  <r>
    <n v="65"/>
    <d v="2026-06-02T00:00:00"/>
    <s v="2026-06-02"/>
    <s v="Claire Watson"/>
    <x v="14"/>
    <s v="911 Carrera"/>
    <n v="2023"/>
    <n v="2023"/>
    <s v="$132,000"/>
    <n v="132000"/>
    <s v="8.800 miles"/>
    <s v="8800"/>
    <s v="Crypto"/>
    <x v="8"/>
    <s v="Anchorage"/>
    <x v="57"/>
    <s v="Alaska"/>
    <x v="30"/>
    <s v="Frank Reed"/>
    <s v="pending review"/>
    <x v="8"/>
  </r>
  <r>
    <n v="66"/>
    <s v="06/15/2026"/>
    <s v="2026-06-15"/>
    <s v="Sebastian Brooks"/>
    <x v="25"/>
    <s v="718 Cayman GT4 RS"/>
    <n v="2024"/>
    <n v="2024"/>
    <s v="USD $176,400"/>
    <n v="176400"/>
    <s v="600 miles"/>
    <s v="600"/>
    <s v="Credit card"/>
    <x v="0"/>
    <s v="Plano"/>
    <x v="58"/>
    <s v="TX"/>
    <x v="2"/>
    <s v="Angela Moore"/>
    <s v="delivered"/>
    <x v="0"/>
  </r>
  <r>
    <n v="67"/>
    <s v="2026-06-31"/>
    <s v="INVALID"/>
    <s v="Bella Ramirez"/>
    <x v="27"/>
    <s v="Panamera 4 E-Hybrid"/>
    <n v="2022"/>
    <n v="2022"/>
    <s v="108.500 dollars"/>
    <n v="108500"/>
    <s v="16,200 miles"/>
    <s v="16200"/>
    <s v="bank-transfer"/>
    <x v="4"/>
    <s v="Newark"/>
    <x v="59"/>
    <s v="nj"/>
    <x v="31"/>
    <s v="rachel west"/>
    <s v="cancelled"/>
    <x v="3"/>
  </r>
  <r>
    <n v="68"/>
    <d v="2026-07-07T00:00:00"/>
    <s v="2026-07-07"/>
    <s v="Miles Peterson"/>
    <x v="15"/>
    <s v="Macan"/>
    <n v="2021"/>
    <n v="2021"/>
    <s v="$59k"/>
    <n v="59000"/>
    <s v="36,000 mi"/>
    <s v="36000"/>
    <s v="Financing"/>
    <x v="2"/>
    <s v="Greensboro"/>
    <x v="60"/>
    <s v="North Carolina"/>
    <x v="12"/>
    <s v="Thomas Fox"/>
    <s v="awaiting delivery"/>
    <x v="6"/>
  </r>
  <r>
    <n v="69"/>
    <s v="July 20th, 2026"/>
    <s v="2026-07-20"/>
    <s v="Skylar Rogers"/>
    <x v="29"/>
    <s v="Taycan Turbo S"/>
    <n v="2025"/>
    <n v="2025"/>
    <s v="218000 USD"/>
    <n v="218000"/>
    <s v="zero"/>
    <s v="0"/>
    <s v="wire transfer"/>
    <x v="1"/>
    <s v="Lincoln"/>
    <x v="61"/>
    <s v="Nebraska"/>
    <x v="22"/>
    <s v="LISA Dunn"/>
    <s v="Pending"/>
    <x v="2"/>
  </r>
  <r>
    <n v="70"/>
    <s v="2026-07-35"/>
    <s v="INVALID"/>
    <s v="Dominic Kelly"/>
    <x v="18"/>
    <s v="Cayenne S"/>
    <n v="2024"/>
    <n v="2024"/>
    <s v="USD 99.950"/>
    <n v="99950"/>
    <s v="5,300 miles"/>
    <s v="5300"/>
    <s v="debit card"/>
    <x v="6"/>
    <s v="Jersey City"/>
    <x v="62"/>
    <s v="NJ"/>
    <x v="31"/>
    <s v="Brian Allen"/>
    <s v="delivered!!!"/>
    <x v="0"/>
  </r>
  <r>
    <n v="71"/>
    <d v="2026-04-08T00:00:00"/>
    <s v="2026-04-08"/>
    <s v="Lucy Howard"/>
    <x v="26"/>
    <s v="911 Carrera GTS"/>
    <s v="twenty twenty four"/>
    <n v="2024"/>
    <s v="$121.750,00"/>
    <n v="121750"/>
    <s v="KM 9,450"/>
    <s v="5872"/>
    <s v="CreditCard"/>
    <x v="0"/>
    <s v="chandler"/>
    <x v="63"/>
    <s v="az"/>
    <x v="8"/>
    <s v="George Hall"/>
    <s v="DELIVERD"/>
    <x v="0"/>
  </r>
  <r>
    <n v="72"/>
    <s v="2026.08.18"/>
    <s v="2026-08-18"/>
    <s v="Everett Cox"/>
    <x v="38"/>
    <s v="718 Boxster GTS"/>
    <n v="2023"/>
    <n v="2023"/>
    <s v="91,500 USD"/>
    <n v="91500"/>
    <s v="13.300 mi"/>
    <s v="13300"/>
    <s v="lease"/>
    <x v="5"/>
    <s v="Reno"/>
    <x v="64"/>
    <s v="NV"/>
    <x v="9"/>
    <s v="Helen King"/>
    <s v="shipped"/>
    <x v="5"/>
  </r>
  <r>
    <n v="73"/>
    <s v="August 31st, 2026"/>
    <s v="2026-08-31"/>
    <s v="Maya Rivera"/>
    <x v="12"/>
    <s v="Panamera Turbo S"/>
    <n v="2022"/>
    <n v="2022"/>
    <s v="$134k"/>
    <n v="134000"/>
    <s v="20,100 miles"/>
    <s v="20100"/>
    <s v="wire"/>
    <x v="1"/>
    <s v="Buffalo"/>
    <x v="65"/>
    <s v="New York"/>
    <x v="6"/>
    <s v="samuel price"/>
    <s v="in Transit"/>
    <x v="1"/>
  </r>
  <r>
    <n v="74"/>
    <d v="2026-09-09T00:00:00"/>
    <s v="2026-09-09"/>
    <s v="Connor Ward"/>
    <x v="9"/>
    <s v="Macan GTS"/>
    <n v="2024"/>
    <n v="2024"/>
    <s v="$96,800.00"/>
    <n v="96800"/>
    <s v="new car"/>
    <s v="0"/>
    <s v="ACH payment"/>
    <x v="7"/>
    <s v="Durham"/>
    <x v="66"/>
    <s v="nc"/>
    <x v="12"/>
    <s v="Peter Ford"/>
    <s v="delivered"/>
    <x v="0"/>
  </r>
  <r>
    <n v="75"/>
    <s v="09/17/2026"/>
    <s v="2026-09-17"/>
    <s v="Eliana Bell"/>
    <x v="4"/>
    <s v="Taycan 4S"/>
    <s v="20-25"/>
    <n v="2025"/>
    <s v="USD 131,600"/>
    <n v="131600"/>
    <s v="2,900mi"/>
    <s v="2900"/>
    <s v="bank wire"/>
    <x v="1"/>
    <s v="Laredo"/>
    <x v="67"/>
    <s v="Texas"/>
    <x v="2"/>
    <s v="Angela Green"/>
    <s v="pending approval"/>
    <x v="4"/>
  </r>
  <r>
    <n v="76"/>
    <d v="2026-09-28T00:00:00"/>
    <s v="2026-09-28"/>
    <s v="Cameron Murphy"/>
    <x v="7"/>
    <s v="Cayenne E-Hybrid"/>
    <n v="2023"/>
    <n v="2023"/>
    <s v="$94.300"/>
    <n v="94300"/>
    <s v="13,100 miles"/>
    <s v="13100"/>
    <s v="cash payment"/>
    <x v="3"/>
    <s v="Madison"/>
    <x v="68"/>
    <s v="Wisconsin"/>
    <x v="20"/>
    <s v="Victor Stone"/>
    <s v="delivered."/>
    <x v="0"/>
  </r>
  <r>
    <n v="77"/>
    <d v="2026-10-06T00:00:00"/>
    <s v="2026-10-06"/>
    <s v="Ariana Cook"/>
    <x v="1"/>
    <s v="911 Turbo S"/>
    <n v="2025"/>
    <n v="2025"/>
    <s v="242.000 USD"/>
    <n v="242000"/>
    <s v="1.100 miles"/>
    <s v="1100"/>
    <s v="Crypto"/>
    <x v="8"/>
    <s v="Lubbock"/>
    <x v="69"/>
    <s v="TX"/>
    <x v="2"/>
    <s v="Rachel Turner"/>
    <s v="awaiting pickup"/>
    <x v="7"/>
  </r>
  <r>
    <n v="78"/>
    <s v="10/16/26"/>
    <s v="2026-10-16"/>
    <s v="Wesley Morgan"/>
    <x v="39"/>
    <s v="718 Cayman S"/>
    <n v="2022"/>
    <n v="2022"/>
    <s v="$82,750"/>
    <n v="82750"/>
    <s v="22,500 miles"/>
    <s v="22500"/>
    <s v="credit card payment"/>
    <x v="0"/>
    <s v="Toledo"/>
    <x v="70"/>
    <s v="Ohio"/>
    <x v="18"/>
    <s v="Chris Moore"/>
    <s v="cancelled"/>
    <x v="3"/>
  </r>
  <r>
    <n v="79"/>
    <s v="October 29th, 2026"/>
    <s v="2026-10-29"/>
    <s v="Naomi Peterson"/>
    <x v="21"/>
    <s v="Macan Electric"/>
    <s v="twenty twenty six"/>
    <n v="2026"/>
    <s v="USD $91,300"/>
    <n v="91300"/>
    <s v="0 mi"/>
    <s v="0"/>
    <s v="wire-transfer"/>
    <x v="1"/>
    <s v="Irvine"/>
    <x v="71"/>
    <s v="CA"/>
    <x v="4"/>
    <s v="LAURA Hill"/>
    <s v="delivered"/>
    <x v="0"/>
  </r>
  <r>
    <n v="80"/>
    <d v="2026-11-03T00:00:00"/>
    <s v="2026-11-03"/>
    <s v="Jason Perry"/>
    <x v="20"/>
    <s v="Panamera"/>
    <n v="2021"/>
    <n v="2021"/>
    <s v="79,900 dollars"/>
    <n v="79900"/>
    <s v="44.800 miles"/>
    <s v="44800"/>
    <s v="finance"/>
    <x v="2"/>
    <s v="Garland"/>
    <x v="72"/>
    <s v="TX"/>
    <x v="2"/>
    <s v="Martin Young"/>
    <s v="Pending"/>
    <x v="2"/>
  </r>
  <r>
    <n v="81"/>
    <s v="11/31/2026"/>
    <s v="INVALID"/>
    <s v="Riley Flores"/>
    <x v="2"/>
    <s v="Cayenne Coupe"/>
    <n v="2024"/>
    <n v="2024"/>
    <s v="$111k"/>
    <n v="111000"/>
    <s v="6,700 miles"/>
    <s v="6700"/>
    <s v="Bank Transfer"/>
    <x v="4"/>
    <s v="Irving"/>
    <x v="73"/>
    <s v="tx"/>
    <x v="2"/>
    <s v="Diana Cooper"/>
    <s v="in-transit"/>
    <x v="1"/>
  </r>
  <r>
    <n v="82"/>
    <s v="2026.12.11"/>
    <s v="2026-12-11"/>
    <s v="Hazel Long"/>
    <x v="19"/>
    <s v="911 Targa 4S"/>
    <n v="2023"/>
    <n v="2023"/>
    <s v="156500 USD"/>
    <n v="156500"/>
    <s v="Miles 4,200"/>
    <s v="4200"/>
    <s v="cash payment"/>
    <x v="3"/>
    <s v="Chesapeake"/>
    <x v="74"/>
    <s v="VA"/>
    <x v="24"/>
    <s v="Steve Gray"/>
    <s v="delivered"/>
    <x v="0"/>
  </r>
  <r>
    <n v="83"/>
    <s v="Dec 24th 2026"/>
    <s v="2026-12-24"/>
    <s v="Easton Bailey"/>
    <x v="31"/>
    <s v="Taycan"/>
    <n v="2025"/>
    <n v="2025"/>
    <s v="$119.900"/>
    <n v="119900"/>
    <s v="1.250 mi"/>
    <s v="1250"/>
    <s v="Leasing"/>
    <x v="5"/>
    <s v="Scottsdale"/>
    <x v="75"/>
    <s v="Arizona"/>
    <x v="8"/>
    <s v="Olivia Ross"/>
    <s v="pending!!"/>
    <x v="2"/>
  </r>
  <r>
    <n v="84"/>
    <s v="2026-12-38"/>
    <s v="INVALID"/>
    <s v="Aurora Cooper"/>
    <x v="28"/>
    <s v="Macan T"/>
    <n v="2022"/>
    <n v="2022"/>
    <s v="USD 73,200"/>
    <n v="73200"/>
    <s v="18,600mi"/>
    <s v="18600"/>
    <s v="bank wire"/>
    <x v="1"/>
    <s v="Norfolk"/>
    <x v="76"/>
    <s v="va"/>
    <x v="24"/>
    <s v="Patrick Wood"/>
    <s v="delivered"/>
    <x v="0"/>
  </r>
  <r>
    <n v="85"/>
    <s v="12/28/26"/>
    <s v="2026-12-28"/>
    <s v="Colton Richardson"/>
    <x v="11"/>
    <s v="911 GT3"/>
    <s v="twenty twenty four"/>
    <n v="2024"/>
    <s v="$224,000.00"/>
    <n v="224000"/>
    <s v="3,000 miles"/>
    <s v="3000"/>
    <s v="wire transfer"/>
    <x v="1"/>
    <s v="Boise"/>
    <x v="77"/>
    <s v="Idaho"/>
    <x v="32"/>
    <s v="Karen Diaz"/>
    <s v="awaiting delivery"/>
    <x v="6"/>
  </r>
  <r>
    <n v="86"/>
    <d v="2027-01-15T00:00:00"/>
    <s v="2027-01-15"/>
    <s v="Mason Stewart"/>
    <x v="30"/>
    <s v="911 Carrera"/>
    <n v="2024"/>
    <n v="2024"/>
    <s v="$126,900.00"/>
    <n v="126900"/>
    <s v="7,200 miles"/>
    <s v="7200"/>
    <s v="Credit card"/>
    <x v="0"/>
    <s v="orlando"/>
    <x v="15"/>
    <s v="fl"/>
    <x v="5"/>
    <s v="kevin brown"/>
    <s v="delivered"/>
    <x v="0"/>
  </r>
  <r>
    <n v="87"/>
    <s v="01/29/27"/>
    <s v="2027-01-29"/>
    <s v="Harper Reed"/>
    <x v="24"/>
    <s v="Cayenne"/>
    <s v="twenty twenty three"/>
    <n v="2023"/>
    <s v="84,500 USD"/>
    <n v="84500"/>
    <s v="21.400 mi"/>
    <s v="21400"/>
    <s v="Bank Transfer"/>
    <x v="4"/>
    <s v="San Jose"/>
    <x v="12"/>
    <s v="California"/>
    <x v="4"/>
    <s v="AMANDA Lee"/>
    <s v="Pending"/>
    <x v="2"/>
  </r>
  <r>
    <n v="88"/>
    <d v="2027-02-11T00:00:00"/>
    <s v="2027-02-11"/>
    <s v="Tyler-Morris"/>
    <x v="3"/>
    <s v="Macan S"/>
    <n v="2022"/>
    <n v="2022"/>
    <s v="USD 69.800"/>
    <n v="69800"/>
    <s v="Miles: 26,300"/>
    <s v="26300"/>
    <s v="Financing"/>
    <x v="2"/>
    <s v="tampa"/>
    <x v="29"/>
    <s v="FL"/>
    <x v="5"/>
    <s v="Brian Hall"/>
    <s v="delivered"/>
    <x v="0"/>
  </r>
  <r>
    <n v="89"/>
    <s v="February 30th, 2027"/>
    <s v="INVALID"/>
    <s v="Natalie Brooks"/>
    <x v="4"/>
    <s v="Taycan 4S"/>
    <n v="2025"/>
    <n v="2025"/>
    <s v="132.700 dollars"/>
    <n v="132700"/>
    <s v="zero miles"/>
    <s v="0"/>
    <s v="wire transfer"/>
    <x v="1"/>
    <s v="Denver"/>
    <x v="3"/>
    <s v="colorado"/>
    <x v="3"/>
    <s v="jessica white"/>
    <s v="in Transit"/>
    <x v="1"/>
  </r>
  <r>
    <n v="90"/>
    <d v="2027-03-05T00:00:00"/>
    <s v="2027-03-05"/>
    <s v="Brandon Parker"/>
    <x v="20"/>
    <s v="Panamera"/>
    <s v="20-21"/>
    <n v="2021"/>
    <s v="$81k"/>
    <n v="81000"/>
    <n v="42"/>
    <s v="42"/>
    <s v="cash payment"/>
    <x v="3"/>
    <s v="Austin"/>
    <x v="2"/>
    <s v="tx"/>
    <x v="2"/>
    <s v="Thomas King"/>
    <s v="delivered!!!"/>
    <x v="0"/>
  </r>
  <r>
    <n v="91"/>
    <s v="03/18/2027"/>
    <s v="2027-03-18"/>
    <s v="Lauren Foster"/>
    <x v="0"/>
    <s v="718 Cayman"/>
    <n v="2023"/>
    <n v="2023"/>
    <s v="78,900 USD"/>
    <n v="78900"/>
    <s v="17.500 miles"/>
    <s v="17500"/>
    <s v="debit card"/>
    <x v="6"/>
    <s v="seattle"/>
    <x v="1"/>
    <s v="wa"/>
    <x v="1"/>
    <s v="Victor Lee"/>
    <s v="cancelled"/>
    <x v="3"/>
  </r>
  <r>
    <n v="92"/>
    <s v="2027.04.02"/>
    <s v="2027-04-02"/>
    <s v="Adam Hughes"/>
    <x v="1"/>
    <s v="911 Turbo S"/>
    <s v="twenty twenty six"/>
    <n v="2026"/>
    <s v="USD $249,300"/>
    <n v="249300"/>
    <s v="900mi"/>
    <s v="900"/>
    <s v="wire-transfer"/>
    <x v="1"/>
    <s v="Boston"/>
    <x v="0"/>
    <s v="Massachusetts"/>
    <x v="0"/>
    <s v="monica green"/>
    <s v="awaiting delivery"/>
    <x v="6"/>
  </r>
  <r>
    <n v="93"/>
    <s v="2027/15/04"/>
    <s v="INVALID"/>
    <s v="Julia Coleman"/>
    <x v="2"/>
    <s v="Cayenne Coupe"/>
    <n v="2024"/>
    <n v="2024"/>
    <s v="$108.750,00"/>
    <n v="108750"/>
    <s v="KM 8,900"/>
    <s v="5530"/>
    <s v="bank wire"/>
    <x v="1"/>
    <s v="Phoenix"/>
    <x v="9"/>
    <s v="AZ"/>
    <x v="8"/>
    <s v="Gregory Adams"/>
    <s v="pending approval"/>
    <x v="4"/>
  </r>
  <r>
    <n v="94"/>
    <s v="April 31st, 2027"/>
    <s v="INVALID"/>
    <s v="Caleb Simmons"/>
    <x v="21"/>
    <s v="Macan Electric"/>
    <n v="2026"/>
    <n v="2026"/>
    <s v="92,600 dollars"/>
    <n v="92600"/>
    <s v="0 miles"/>
    <s v="0"/>
    <s v="Financing plan"/>
    <x v="2"/>
    <s v="chicago"/>
    <x v="8"/>
    <s v="Illinois"/>
    <x v="7"/>
    <s v="Laura West"/>
    <s v="shipped"/>
    <x v="5"/>
  </r>
  <r>
    <n v="95"/>
    <d v="2027-05-12T00:00:00"/>
    <s v="2027-05-12"/>
    <s v="Ariana Price"/>
    <x v="10"/>
    <s v="Taycan Turbo"/>
    <n v="2025"/>
    <n v="2025"/>
    <s v="$164k"/>
    <n v="164000"/>
    <s v="new"/>
    <s v="0"/>
    <s v="ACH payment"/>
    <x v="7"/>
    <s v="Dallas"/>
    <x v="10"/>
    <s v="TX"/>
    <x v="2"/>
    <s v="Henry King"/>
    <s v="in Transit"/>
    <x v="1"/>
  </r>
  <r>
    <n v="96"/>
    <s v="05-27-27"/>
    <s v="2027-05-27"/>
    <s v="Owen Rivera"/>
    <x v="32"/>
    <s v="Panamera 4S"/>
    <s v="20 24"/>
    <n v="2024"/>
    <s v="USD 119.000"/>
    <n v="119000"/>
    <s v="13,400 miles"/>
    <s v="13400"/>
    <s v="CreditCard"/>
    <x v="0"/>
    <s v="san francisco"/>
    <x v="78"/>
    <s v="California"/>
    <x v="4"/>
    <s v="amber clark"/>
    <s v="delivered"/>
    <x v="0"/>
  </r>
  <r>
    <n v="97"/>
    <s v="2027-06-40"/>
    <s v="INVALID"/>
    <s v="Nora Bennett"/>
    <x v="11"/>
    <s v="911 GT3"/>
    <n v="2026"/>
    <n v="2026"/>
    <s v="$232,500"/>
    <n v="232500"/>
    <s v="1,700 miles"/>
    <s v="1700"/>
    <s v="WireTransfer"/>
    <x v="1"/>
    <s v="Las Vegas"/>
    <x v="11"/>
    <s v="nv"/>
    <x v="9"/>
    <s v="PETER Lane"/>
    <s v="Pending"/>
    <x v="2"/>
  </r>
  <r>
    <n v="98"/>
    <s v="Jun 18th 2027"/>
    <s v="2027-06-18"/>
    <s v="Isaac Turner"/>
    <x v="7"/>
    <s v="Cayenne E-Hybrid"/>
    <n v="2023"/>
    <n v="2023"/>
    <s v="96.800 USD"/>
    <n v="96800"/>
    <s v="fourteen thousand miles"/>
    <s v="14000"/>
    <s v="lease"/>
    <x v="5"/>
    <s v="Charlotte"/>
    <x v="17"/>
    <s v="NC"/>
    <x v="12"/>
    <s v="Grace Morris"/>
    <s v="delivered."/>
    <x v="0"/>
  </r>
  <r>
    <n v="99"/>
    <d v="2027-07-03T00:00:00"/>
    <s v="2027-07-03"/>
    <s v="Leah Scott"/>
    <x v="28"/>
    <s v="Macan T"/>
    <n v="2022"/>
    <n v="2022"/>
    <s v="$74,400.00"/>
    <n v="74400"/>
    <s v="20,750 mi."/>
    <s v="20750"/>
    <s v="CASH"/>
    <x v="3"/>
    <s v="Mesa"/>
    <x v="42"/>
    <s v="Arizona"/>
    <x v="8"/>
    <s v="Kyle Perry"/>
    <s v="awaiting pickup"/>
    <x v="7"/>
  </r>
  <r>
    <n v="100"/>
    <s v="07/22/2027"/>
    <s v="2027-07-22"/>
    <s v="Christian Bailey"/>
    <x v="23"/>
    <s v="Taycan GTS"/>
    <s v="twenty twenty five"/>
    <n v="2025"/>
    <s v="148500 USD"/>
    <n v="148500"/>
    <s v="5,200 miles"/>
    <s v="5200"/>
    <s v="crypto payment"/>
    <x v="8"/>
    <s v="Atlanta"/>
    <x v="14"/>
    <s v="ga"/>
    <x v="10"/>
    <s v="megan reed"/>
    <s v="delivered"/>
    <x v="0"/>
  </r>
  <r>
    <n v="101"/>
    <d v="2027-08-08T00:00:00"/>
    <s v="2027-08-08"/>
    <s v="Audrey Russell"/>
    <x v="8"/>
    <s v="718 Boxster"/>
    <n v="2021"/>
    <n v="2021"/>
    <s v="USD 71,900.00"/>
    <n v="71900"/>
    <s v="29.600 miles"/>
    <s v="29600"/>
    <s v="Bank Transfer"/>
    <x v="4"/>
    <s v="long beach"/>
    <x v="43"/>
    <s v="CA"/>
    <x v="4"/>
    <s v="Carl Simmons"/>
    <s v="Pending"/>
    <x v="2"/>
  </r>
  <r>
    <n v="102"/>
    <s v="August 32nd, 2027"/>
    <s v="INVALID"/>
    <s v="Hunter Griffin"/>
    <x v="36"/>
    <s v="911 Targa 4"/>
    <n v="2024"/>
    <n v="2024"/>
    <s v="$143.250"/>
    <n v="143250"/>
    <s v="3.100 mi"/>
    <s v="3100"/>
    <s v="finance"/>
    <x v="2"/>
    <s v="Oakland"/>
    <x v="44"/>
    <s v="California"/>
    <x v="4"/>
    <s v="LINDA cole"/>
    <s v="in-transit"/>
    <x v="1"/>
  </r>
  <r>
    <n v="103"/>
    <d v="2027-09-19T00:00:00"/>
    <s v="2027-09-19"/>
    <s v="Scarlett Diaz"/>
    <x v="34"/>
    <s v="Panamera Turbo"/>
    <n v="2020"/>
    <n v="2020"/>
    <s v="137,500 dollars"/>
    <n v="137500"/>
    <s v="48,000 miles"/>
    <s v="48000"/>
    <s v="wire"/>
    <x v="1"/>
    <s v="Tulsa"/>
    <x v="45"/>
    <s v="OK"/>
    <x v="25"/>
    <s v="Martin Brooks"/>
    <s v="delivered"/>
    <x v="0"/>
  </r>
  <r>
    <n v="104"/>
    <s v="09/25/27"/>
    <s v="2027-09-25"/>
    <s v="Eli Jenkins"/>
    <x v="13"/>
    <s v="Cayenne Turbo GT"/>
    <s v="20 25"/>
    <n v="2025"/>
    <s v="USD $204,800"/>
    <n v="204800"/>
    <s v="Miles 3.300"/>
    <s v="3300"/>
    <s v="credit card payment"/>
    <x v="0"/>
    <s v="Wichita"/>
    <x v="46"/>
    <s v="Kansas"/>
    <x v="26"/>
    <s v="Diana Long"/>
    <s v="pending!!"/>
    <x v="2"/>
  </r>
  <r>
    <n v="105"/>
    <s v="2027.10.01"/>
    <s v="2027-10-01"/>
    <s v="Madison Powell"/>
    <x v="22"/>
    <s v="911 Dakar"/>
    <s v="twenty twenty four"/>
    <n v="2024"/>
    <s v="$271,700"/>
    <n v="271700"/>
    <s v="1,050 miles"/>
    <s v="1050"/>
    <s v="Leasing"/>
    <x v="5"/>
    <s v="new orleans"/>
    <x v="47"/>
    <s v="la"/>
    <x v="27"/>
    <s v="Steve Ross"/>
    <s v="delivered"/>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94F9B9-A080-4682-8BE0-3EBEE97F1BA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79" firstHeaderRow="1" firstDataRow="1" firstDataCol="1"/>
  <pivotFields count="21">
    <pivotField showAll="0"/>
    <pivotField showAll="0"/>
    <pivotField showAll="0"/>
    <pivotField showAll="0"/>
    <pivotField axis="axisRow" showAll="0">
      <items count="41">
        <item x="8"/>
        <item x="38"/>
        <item x="0"/>
        <item x="25"/>
        <item x="39"/>
        <item x="16"/>
        <item x="30"/>
        <item x="14"/>
        <item x="26"/>
        <item x="6"/>
        <item x="22"/>
        <item x="11"/>
        <item x="35"/>
        <item x="36"/>
        <item x="19"/>
        <item x="33"/>
        <item x="1"/>
        <item x="24"/>
        <item x="2"/>
        <item x="7"/>
        <item x="18"/>
        <item x="37"/>
        <item x="13"/>
        <item x="15"/>
        <item x="21"/>
        <item x="9"/>
        <item x="3"/>
        <item x="28"/>
        <item x="20"/>
        <item x="5"/>
        <item x="27"/>
        <item x="32"/>
        <item x="34"/>
        <item x="12"/>
        <item x="31"/>
        <item x="4"/>
        <item x="17"/>
        <item x="23"/>
        <item x="10"/>
        <item x="29"/>
        <item t="default"/>
      </items>
    </pivotField>
    <pivotField showAll="0"/>
    <pivotField showAll="0"/>
    <pivotField showAll="0"/>
    <pivotField showAll="0"/>
    <pivotField dataField="1" showAll="0"/>
    <pivotField showAll="0"/>
    <pivotField showAll="0"/>
    <pivotField showAll="0"/>
    <pivotField showAll="0">
      <items count="10">
        <item x="7"/>
        <item x="4"/>
        <item x="3"/>
        <item x="0"/>
        <item x="8"/>
        <item x="6"/>
        <item x="2"/>
        <item x="5"/>
        <item x="1"/>
        <item t="default"/>
      </items>
    </pivotField>
    <pivotField showAll="0"/>
    <pivotField axis="axisRow" showAll="0">
      <items count="80">
        <item x="35"/>
        <item x="49"/>
        <item x="57"/>
        <item x="40"/>
        <item x="14"/>
        <item x="2"/>
        <item x="41"/>
        <item x="77"/>
        <item x="0"/>
        <item x="65"/>
        <item x="63"/>
        <item x="17"/>
        <item x="74"/>
        <item x="8"/>
        <item x="56"/>
        <item x="31"/>
        <item x="39"/>
        <item x="25"/>
        <item x="53"/>
        <item x="10"/>
        <item x="3"/>
        <item x="24"/>
        <item x="66"/>
        <item x="27"/>
        <item x="37"/>
        <item x="72"/>
        <item x="60"/>
        <item x="50"/>
        <item x="48"/>
        <item x="13"/>
        <item x="26"/>
        <item x="71"/>
        <item x="73"/>
        <item x="28"/>
        <item x="62"/>
        <item x="33"/>
        <item x="67"/>
        <item x="11"/>
        <item x="51"/>
        <item x="61"/>
        <item x="43"/>
        <item x="4"/>
        <item x="69"/>
        <item x="68"/>
        <item x="42"/>
        <item x="5"/>
        <item x="32"/>
        <item x="19"/>
        <item x="18"/>
        <item x="47"/>
        <item x="6"/>
        <item x="59"/>
        <item x="76"/>
        <item x="44"/>
        <item x="34"/>
        <item x="15"/>
        <item x="20"/>
        <item x="9"/>
        <item x="55"/>
        <item x="58"/>
        <item x="16"/>
        <item x="23"/>
        <item x="64"/>
        <item x="52"/>
        <item x="30"/>
        <item x="22"/>
        <item x="21"/>
        <item x="7"/>
        <item x="78"/>
        <item x="12"/>
        <item x="75"/>
        <item x="1"/>
        <item x="54"/>
        <item x="29"/>
        <item x="70"/>
        <item x="36"/>
        <item x="45"/>
        <item x="38"/>
        <item x="46"/>
        <item t="default"/>
      </items>
    </pivotField>
    <pivotField showAll="0"/>
    <pivotField showAll="0">
      <items count="34">
        <item x="30"/>
        <item x="8"/>
        <item x="4"/>
        <item x="3"/>
        <item x="5"/>
        <item x="10"/>
        <item x="28"/>
        <item x="32"/>
        <item x="7"/>
        <item x="19"/>
        <item x="26"/>
        <item x="29"/>
        <item x="27"/>
        <item x="0"/>
        <item x="17"/>
        <item x="14"/>
        <item x="21"/>
        <item x="12"/>
        <item x="22"/>
        <item x="31"/>
        <item x="23"/>
        <item x="9"/>
        <item x="6"/>
        <item x="18"/>
        <item x="25"/>
        <item x="11"/>
        <item x="15"/>
        <item x="13"/>
        <item x="2"/>
        <item x="16"/>
        <item x="24"/>
        <item x="1"/>
        <item x="20"/>
        <item t="default"/>
      </items>
    </pivotField>
    <pivotField showAll="0"/>
    <pivotField showAll="0"/>
    <pivotField showAll="0">
      <items count="11">
        <item x="6"/>
        <item x="7"/>
        <item x="9"/>
        <item x="3"/>
        <item x="0"/>
        <item x="1"/>
        <item x="2"/>
        <item x="4"/>
        <item x="8"/>
        <item x="5"/>
        <item t="default"/>
      </items>
    </pivotField>
  </pivotFields>
  <rowFields count="2">
    <field x="15"/>
    <field x="4"/>
  </rowFields>
  <rowItems count="176">
    <i>
      <x/>
    </i>
    <i r="1">
      <x v="15"/>
    </i>
    <i>
      <x v="1"/>
    </i>
    <i r="1">
      <x v="37"/>
    </i>
    <i>
      <x v="2"/>
    </i>
    <i r="1">
      <x v="7"/>
    </i>
    <i>
      <x v="3"/>
    </i>
    <i r="1">
      <x v="12"/>
    </i>
    <i>
      <x v="4"/>
    </i>
    <i r="1">
      <x v="7"/>
    </i>
    <i r="1">
      <x v="37"/>
    </i>
    <i r="1">
      <x v="38"/>
    </i>
    <i>
      <x v="5"/>
    </i>
    <i r="1">
      <x v="18"/>
    </i>
    <i r="1">
      <x v="28"/>
    </i>
    <i>
      <x v="6"/>
    </i>
    <i r="1">
      <x v="19"/>
    </i>
    <i>
      <x v="7"/>
    </i>
    <i r="1">
      <x v="11"/>
    </i>
    <i>
      <x v="8"/>
    </i>
    <i r="1">
      <x v="2"/>
    </i>
    <i r="1">
      <x v="16"/>
    </i>
    <i>
      <x v="9"/>
    </i>
    <i r="1">
      <x v="33"/>
    </i>
    <i>
      <x v="10"/>
    </i>
    <i r="1">
      <x v="8"/>
    </i>
    <i>
      <x v="11"/>
    </i>
    <i r="1">
      <x v="19"/>
    </i>
    <i r="1">
      <x v="36"/>
    </i>
    <i>
      <x v="12"/>
    </i>
    <i r="1">
      <x v="14"/>
    </i>
    <i>
      <x v="13"/>
    </i>
    <i r="1">
      <x/>
    </i>
    <i r="1">
      <x v="24"/>
    </i>
    <i>
      <x v="14"/>
    </i>
    <i r="1">
      <x v="22"/>
    </i>
    <i>
      <x v="15"/>
    </i>
    <i r="1">
      <x v="23"/>
    </i>
    <i>
      <x v="16"/>
    </i>
    <i r="1">
      <x v="32"/>
    </i>
    <i>
      <x v="17"/>
    </i>
    <i r="1">
      <x v="3"/>
    </i>
    <i>
      <x v="18"/>
    </i>
    <i r="1">
      <x v="29"/>
    </i>
    <i>
      <x v="19"/>
    </i>
    <i r="1">
      <x v="38"/>
    </i>
    <i>
      <x v="20"/>
    </i>
    <i r="1">
      <x v="26"/>
    </i>
    <i r="1">
      <x v="35"/>
    </i>
    <i>
      <x v="21"/>
    </i>
    <i r="1">
      <x v="17"/>
    </i>
    <i>
      <x v="22"/>
    </i>
    <i r="1">
      <x v="25"/>
    </i>
    <i>
      <x v="23"/>
    </i>
    <i r="1">
      <x v="30"/>
    </i>
    <i>
      <x v="24"/>
    </i>
    <i r="1">
      <x v="25"/>
    </i>
    <i>
      <x v="25"/>
    </i>
    <i r="1">
      <x v="28"/>
    </i>
    <i>
      <x v="26"/>
    </i>
    <i r="1">
      <x v="23"/>
    </i>
    <i>
      <x v="27"/>
    </i>
    <i r="1">
      <x v="17"/>
    </i>
    <i>
      <x v="28"/>
    </i>
    <i r="1">
      <x v="9"/>
    </i>
    <i>
      <x v="29"/>
    </i>
    <i r="1">
      <x v="22"/>
    </i>
    <i>
      <x v="30"/>
    </i>
    <i r="1">
      <x v="8"/>
    </i>
    <i>
      <x v="31"/>
    </i>
    <i r="1">
      <x v="24"/>
    </i>
    <i>
      <x v="32"/>
    </i>
    <i r="1">
      <x v="18"/>
    </i>
    <i>
      <x v="33"/>
    </i>
    <i r="1">
      <x v="27"/>
    </i>
    <i>
      <x v="34"/>
    </i>
    <i r="1">
      <x v="20"/>
    </i>
    <i>
      <x v="35"/>
    </i>
    <i r="1">
      <x v="31"/>
    </i>
    <i>
      <x v="36"/>
    </i>
    <i r="1">
      <x v="35"/>
    </i>
    <i>
      <x v="37"/>
    </i>
    <i r="1">
      <x v="11"/>
    </i>
    <i>
      <x v="38"/>
    </i>
    <i r="1">
      <x v="5"/>
    </i>
    <i>
      <x v="39"/>
    </i>
    <i r="1">
      <x v="39"/>
    </i>
    <i>
      <x v="40"/>
    </i>
    <i r="1">
      <x/>
    </i>
    <i r="1">
      <x v="2"/>
    </i>
    <i>
      <x v="41"/>
    </i>
    <i r="1">
      <x v="35"/>
    </i>
    <i>
      <x v="42"/>
    </i>
    <i r="1">
      <x v="16"/>
    </i>
    <i>
      <x v="43"/>
    </i>
    <i r="1">
      <x v="19"/>
    </i>
    <i>
      <x v="44"/>
    </i>
    <i r="1">
      <x v="27"/>
    </i>
    <i>
      <x v="45"/>
    </i>
    <i r="1">
      <x v="29"/>
    </i>
    <i>
      <x v="46"/>
    </i>
    <i r="1">
      <x v="34"/>
    </i>
    <i>
      <x v="47"/>
    </i>
    <i r="1">
      <x v="14"/>
    </i>
    <i>
      <x v="48"/>
    </i>
    <i r="1">
      <x v="20"/>
    </i>
    <i>
      <x v="49"/>
    </i>
    <i r="1">
      <x v="10"/>
    </i>
    <i r="1">
      <x v="24"/>
    </i>
    <i>
      <x v="50"/>
    </i>
    <i r="1">
      <x v="9"/>
    </i>
    <i>
      <x v="51"/>
    </i>
    <i r="1">
      <x v="30"/>
    </i>
    <i>
      <x v="52"/>
    </i>
    <i r="1">
      <x v="27"/>
    </i>
    <i>
      <x v="53"/>
    </i>
    <i r="1">
      <x v="13"/>
    </i>
    <i>
      <x v="54"/>
    </i>
    <i r="1">
      <x/>
    </i>
    <i>
      <x v="55"/>
    </i>
    <i r="1">
      <x v="6"/>
    </i>
    <i r="1">
      <x v="23"/>
    </i>
    <i>
      <x v="56"/>
    </i>
    <i r="1">
      <x v="28"/>
    </i>
    <i>
      <x v="57"/>
    </i>
    <i r="1">
      <x v="18"/>
    </i>
    <i r="1">
      <x v="25"/>
    </i>
    <i>
      <x v="58"/>
    </i>
    <i r="1">
      <x v="36"/>
    </i>
    <i>
      <x v="59"/>
    </i>
    <i r="1">
      <x v="3"/>
    </i>
    <i>
      <x v="60"/>
    </i>
    <i r="1">
      <x v="5"/>
    </i>
    <i>
      <x v="61"/>
    </i>
    <i r="1">
      <x v="37"/>
    </i>
    <i>
      <x v="62"/>
    </i>
    <i r="1">
      <x v="1"/>
    </i>
    <i>
      <x v="63"/>
    </i>
    <i r="1">
      <x v="10"/>
    </i>
    <i>
      <x v="64"/>
    </i>
    <i r="1">
      <x v="20"/>
    </i>
    <i>
      <x v="65"/>
    </i>
    <i r="1">
      <x v="10"/>
    </i>
    <i>
      <x v="66"/>
    </i>
    <i r="1">
      <x v="24"/>
    </i>
    <i>
      <x v="67"/>
    </i>
    <i r="1">
      <x v="19"/>
    </i>
    <i r="1">
      <x v="39"/>
    </i>
    <i>
      <x v="68"/>
    </i>
    <i r="1">
      <x v="31"/>
    </i>
    <i>
      <x v="69"/>
    </i>
    <i r="1">
      <x v="17"/>
    </i>
    <i r="1">
      <x v="33"/>
    </i>
    <i>
      <x v="70"/>
    </i>
    <i r="1">
      <x v="34"/>
    </i>
    <i>
      <x v="71"/>
    </i>
    <i r="1">
      <x v="2"/>
    </i>
    <i r="1">
      <x v="16"/>
    </i>
    <i>
      <x v="72"/>
    </i>
    <i r="1">
      <x v="26"/>
    </i>
    <i>
      <x v="73"/>
    </i>
    <i r="1">
      <x v="6"/>
    </i>
    <i r="1">
      <x v="26"/>
    </i>
    <i>
      <x v="74"/>
    </i>
    <i r="1">
      <x v="4"/>
    </i>
    <i>
      <x v="75"/>
    </i>
    <i r="1">
      <x v="18"/>
    </i>
    <i>
      <x v="76"/>
    </i>
    <i r="1">
      <x v="28"/>
    </i>
    <i r="1">
      <x v="32"/>
    </i>
    <i>
      <x v="77"/>
    </i>
    <i r="1">
      <x v="35"/>
    </i>
    <i>
      <x v="78"/>
    </i>
    <i r="1">
      <x v="21"/>
    </i>
    <i r="1">
      <x v="22"/>
    </i>
    <i t="grand">
      <x/>
    </i>
  </rowItems>
  <colItems count="1">
    <i/>
  </colItems>
  <dataFields count="1">
    <dataField name="Sum of SalesPriceSanitized" fld="9" baseField="20" baseItem="3" numFmtId="44"/>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91CEC3-769D-4427-B5BF-C3CA3F5B725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1" firstHeaderRow="1" firstDataRow="1" firstDataCol="1"/>
  <pivotFields count="21">
    <pivotField showAll="0"/>
    <pivotField showAll="0"/>
    <pivotField showAll="0"/>
    <pivotField showAll="0"/>
    <pivotField axis="axisRow" showAll="0">
      <items count="41">
        <item x="8"/>
        <item x="38"/>
        <item x="0"/>
        <item x="25"/>
        <item x="39"/>
        <item x="16"/>
        <item x="30"/>
        <item x="14"/>
        <item x="26"/>
        <item x="6"/>
        <item x="22"/>
        <item x="11"/>
        <item x="35"/>
        <item x="36"/>
        <item x="19"/>
        <item x="33"/>
        <item x="1"/>
        <item x="24"/>
        <item x="2"/>
        <item x="7"/>
        <item x="18"/>
        <item x="37"/>
        <item x="13"/>
        <item x="15"/>
        <item x="21"/>
        <item x="9"/>
        <item x="3"/>
        <item x="28"/>
        <item x="20"/>
        <item x="5"/>
        <item x="27"/>
        <item x="32"/>
        <item x="34"/>
        <item x="12"/>
        <item x="31"/>
        <item x="4"/>
        <item x="17"/>
        <item x="23"/>
        <item x="10"/>
        <item x="29"/>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11">
        <item x="6"/>
        <item x="7"/>
        <item x="9"/>
        <item x="3"/>
        <item x="0"/>
        <item x="1"/>
        <item x="2"/>
        <item x="4"/>
        <item x="8"/>
        <item x="5"/>
        <item t="default"/>
      </items>
    </pivotField>
  </pivotFields>
  <rowFields count="2">
    <field x="4"/>
    <field x="20"/>
  </rowFields>
  <rowItems count="118">
    <i>
      <x/>
    </i>
    <i r="1">
      <x v="3"/>
    </i>
    <i r="1">
      <x v="6"/>
    </i>
    <i r="1">
      <x v="9"/>
    </i>
    <i>
      <x v="1"/>
    </i>
    <i r="1">
      <x v="9"/>
    </i>
    <i>
      <x v="2"/>
    </i>
    <i r="1">
      <x v="3"/>
    </i>
    <i r="1">
      <x v="4"/>
    </i>
    <i r="1">
      <x v="6"/>
    </i>
    <i>
      <x v="3"/>
    </i>
    <i r="1">
      <x v="4"/>
    </i>
    <i r="1">
      <x v="6"/>
    </i>
    <i>
      <x v="4"/>
    </i>
    <i r="1">
      <x v="3"/>
    </i>
    <i>
      <x v="5"/>
    </i>
    <i r="1">
      <x v="5"/>
    </i>
    <i>
      <x v="6"/>
    </i>
    <i r="1">
      <x v="4"/>
    </i>
    <i>
      <x v="7"/>
    </i>
    <i r="1">
      <x v="4"/>
    </i>
    <i r="1">
      <x v="8"/>
    </i>
    <i>
      <x v="8"/>
    </i>
    <i r="1">
      <x v="4"/>
    </i>
    <i>
      <x v="9"/>
    </i>
    <i r="1">
      <x v="3"/>
    </i>
    <i r="1">
      <x v="4"/>
    </i>
    <i>
      <x v="10"/>
    </i>
    <i r="1">
      <x v="1"/>
    </i>
    <i r="1">
      <x v="4"/>
    </i>
    <i>
      <x v="11"/>
    </i>
    <i r="1">
      <x/>
    </i>
    <i r="1">
      <x v="6"/>
    </i>
    <i>
      <x v="12"/>
    </i>
    <i r="1">
      <x v="6"/>
    </i>
    <i>
      <x v="13"/>
    </i>
    <i r="1">
      <x v="5"/>
    </i>
    <i>
      <x v="14"/>
    </i>
    <i r="1">
      <x v="4"/>
    </i>
    <i>
      <x v="15"/>
    </i>
    <i r="1">
      <x/>
    </i>
    <i>
      <x v="16"/>
    </i>
    <i r="1">
      <x/>
    </i>
    <i r="1">
      <x v="1"/>
    </i>
    <i r="1">
      <x v="4"/>
    </i>
    <i>
      <x v="17"/>
    </i>
    <i r="1">
      <x v="2"/>
    </i>
    <i r="1">
      <x v="4"/>
    </i>
    <i r="1">
      <x v="6"/>
    </i>
    <i>
      <x v="18"/>
    </i>
    <i r="1">
      <x v="5"/>
    </i>
    <i r="1">
      <x v="7"/>
    </i>
    <i>
      <x v="19"/>
    </i>
    <i r="1">
      <x v="4"/>
    </i>
    <i r="1">
      <x v="7"/>
    </i>
    <i>
      <x v="20"/>
    </i>
    <i r="1">
      <x v="4"/>
    </i>
    <i r="1">
      <x v="6"/>
    </i>
    <i>
      <x v="21"/>
    </i>
    <i r="1">
      <x v="6"/>
    </i>
    <i>
      <x v="22"/>
    </i>
    <i r="1">
      <x/>
    </i>
    <i r="1">
      <x v="4"/>
    </i>
    <i r="1">
      <x v="6"/>
    </i>
    <i>
      <x v="23"/>
    </i>
    <i r="1">
      <x/>
    </i>
    <i r="1">
      <x v="4"/>
    </i>
    <i r="1">
      <x v="6"/>
    </i>
    <i>
      <x v="24"/>
    </i>
    <i r="1">
      <x v="4"/>
    </i>
    <i r="1">
      <x v="9"/>
    </i>
    <i>
      <x v="25"/>
    </i>
    <i r="1">
      <x v="4"/>
    </i>
    <i r="1">
      <x v="5"/>
    </i>
    <i r="1">
      <x v="9"/>
    </i>
    <i>
      <x v="26"/>
    </i>
    <i r="1">
      <x v="4"/>
    </i>
    <i r="1">
      <x v="6"/>
    </i>
    <i>
      <x v="27"/>
    </i>
    <i r="1">
      <x v="1"/>
    </i>
    <i r="1">
      <x v="4"/>
    </i>
    <i>
      <x v="28"/>
    </i>
    <i r="1">
      <x v="3"/>
    </i>
    <i r="1">
      <x v="4"/>
    </i>
    <i r="1">
      <x v="6"/>
    </i>
    <i>
      <x v="29"/>
    </i>
    <i r="1">
      <x v="3"/>
    </i>
    <i r="1">
      <x v="6"/>
    </i>
    <i>
      <x v="30"/>
    </i>
    <i r="1">
      <x v="3"/>
    </i>
    <i r="1">
      <x v="5"/>
    </i>
    <i>
      <x v="31"/>
    </i>
    <i r="1">
      <x v="4"/>
    </i>
    <i>
      <x v="32"/>
    </i>
    <i r="1">
      <x v="4"/>
    </i>
    <i>
      <x v="33"/>
    </i>
    <i r="1">
      <x v="4"/>
    </i>
    <i r="1">
      <x v="5"/>
    </i>
    <i>
      <x v="34"/>
    </i>
    <i r="1">
      <x v="5"/>
    </i>
    <i r="1">
      <x v="6"/>
    </i>
    <i>
      <x v="35"/>
    </i>
    <i r="1">
      <x v="4"/>
    </i>
    <i r="1">
      <x v="5"/>
    </i>
    <i r="1">
      <x v="7"/>
    </i>
    <i>
      <x v="36"/>
    </i>
    <i r="1">
      <x v="4"/>
    </i>
    <i r="1">
      <x v="5"/>
    </i>
    <i>
      <x v="37"/>
    </i>
    <i r="1">
      <x v="4"/>
    </i>
    <i r="1">
      <x v="5"/>
    </i>
    <i>
      <x v="38"/>
    </i>
    <i r="1">
      <x v="4"/>
    </i>
    <i r="1">
      <x v="5"/>
    </i>
    <i>
      <x v="39"/>
    </i>
    <i r="1">
      <x v="6"/>
    </i>
    <i r="1">
      <x v="8"/>
    </i>
    <i t="grand">
      <x/>
    </i>
  </rowItems>
  <colItems count="1">
    <i/>
  </colItems>
  <dataFields count="1">
    <dataField name="Sum of SalesPriceSanitized" fld="9" baseField="20" baseItem="3" numFmtId="44"/>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thodSanitized" xr10:uid="{33BC2CEB-E414-4434-AE78-E25302AFF703}" sourceName="PayMethodSanitized">
  <pivotTables>
    <pivotTable tabId="3" name="PivotTable3"/>
  </pivotTables>
  <data>
    <tabular pivotCacheId="1778301472">
      <items count="9">
        <i x="7" s="1"/>
        <i x="4" s="1"/>
        <i x="3" s="1"/>
        <i x="0" s="1"/>
        <i x="8" s="1"/>
        <i x="6" s="1"/>
        <i x="2"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Sanitized" xr10:uid="{E30D8601-D518-4E4B-BCBD-33F4CEB3A2DD}" sourceName="StateSanitized">
  <pivotTables>
    <pivotTable tabId="3" name="PivotTable3"/>
  </pivotTables>
  <data>
    <tabular pivotCacheId="1778301472">
      <items count="33">
        <i x="30" s="1"/>
        <i x="8" s="1"/>
        <i x="4" s="1"/>
        <i x="3" s="1"/>
        <i x="5" s="1"/>
        <i x="10" s="1"/>
        <i x="28" s="1"/>
        <i x="32" s="1"/>
        <i x="7" s="1"/>
        <i x="19" s="1"/>
        <i x="26" s="1"/>
        <i x="29" s="1"/>
        <i x="27" s="1"/>
        <i x="0" s="1"/>
        <i x="17" s="1"/>
        <i x="14" s="1"/>
        <i x="21" s="1"/>
        <i x="12" s="1"/>
        <i x="22" s="1"/>
        <i x="31" s="1"/>
        <i x="23" s="1"/>
        <i x="9" s="1"/>
        <i x="6" s="1"/>
        <i x="18" s="1"/>
        <i x="25" s="1"/>
        <i x="11" s="1"/>
        <i x="15" s="1"/>
        <i x="13" s="1"/>
        <i x="2" s="1"/>
        <i x="16" s="1"/>
        <i x="24" s="1"/>
        <i x="1" s="1"/>
        <i x="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thodSanitized" xr10:uid="{60E5147B-AD49-4874-8A5F-A03722FC6EBA}" cache="Slicer_PayMethodSanitized" caption="PayMethodSanitized" startItem="2" rowHeight="234950"/>
  <slicer name="StateSanitized" xr10:uid="{B2782FAC-3F7E-411F-A11D-E69D9A702BE1}" cache="Slicer_StateSanitized" caption="StateSanitize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B9BF41-E6ED-48E6-BC42-84AB92F6F34E}" name="Table1" displayName="Table1" ref="A1:L101" headerRowDxfId="12" dataDxfId="13" headerRowBorderDxfId="27" tableBorderDxfId="28" totalsRowBorderDxfId="26">
  <autoFilter ref="A1:L101" xr:uid="{22B9BF41-E6ED-48E6-BC42-84AB92F6F34E}"/>
  <tableColumns count="12">
    <tableColumn id="1" xr3:uid="{402752F8-5E63-4AB4-A47E-D48F481542BC}" name="sale_id" totalsRowLabel="Total" dataDxfId="25" totalsRowDxfId="0"/>
    <tableColumn id="2" xr3:uid="{E306B237-71C3-4089-9EDA-ADBBA8EE965B}" name="SaleDateSanitized" dataDxfId="24" totalsRowDxfId="1"/>
    <tableColumn id="3" xr3:uid="{515EF22C-D7BD-4437-9912-5C4839C76FD8}" name="customer_name" dataDxfId="23" totalsRowDxfId="2"/>
    <tableColumn id="4" xr3:uid="{9AE9498A-7C44-4FF8-BCB5-F04759646EB6}" name="PorscheModelSanitized" dataDxfId="22" totalsRowDxfId="3"/>
    <tableColumn id="5" xr3:uid="{E6E9980A-777B-4CD1-A331-ACA9151ACAA0}" name="ModelYearSanitized" dataDxfId="21" totalsRowDxfId="4"/>
    <tableColumn id="6" xr3:uid="{FC76D408-2DA5-428E-8D2A-619273B3BE01}" name="SalesPriceSanitized" dataDxfId="20" totalsRowDxfId="5"/>
    <tableColumn id="7" xr3:uid="{46F1D108-A7AF-4288-BCF9-CE94C17F3AC0}" name="VehicleMileageSanitized" dataDxfId="19" totalsRowDxfId="6"/>
    <tableColumn id="8" xr3:uid="{285BA231-EACF-42DE-9E8A-561600059434}" name="PayMethodSanitized" dataDxfId="18" totalsRowDxfId="7"/>
    <tableColumn id="9" xr3:uid="{03BDF151-C957-49CA-8A4D-FD79A808B07F}" name="CitySanitized" dataDxfId="17" totalsRowDxfId="8"/>
    <tableColumn id="10" xr3:uid="{5EDFCCD1-CEF6-4353-BE16-815050E05713}" name="StateSanitized" dataDxfId="16" totalsRowDxfId="9"/>
    <tableColumn id="11" xr3:uid="{BE0D3391-2363-4D93-A6D3-E8F8A6E6494A}" name="salesperson" dataDxfId="15" totalsRowDxfId="10"/>
    <tableColumn id="12" xr3:uid="{BC519074-DD1D-427C-8007-630D319DCED4}" name="DeliveryStatusSanitized" totalsRowFunction="count" dataDxfId="14" totalsRowDxfId="1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1"/>
  <sheetViews>
    <sheetView tabSelected="1" workbookViewId="0">
      <pane ySplit="1" topLeftCell="A2" activePane="bottomLeft" state="frozen"/>
      <selection pane="bottomLeft" activeCell="F101" sqref="F101"/>
    </sheetView>
  </sheetViews>
  <sheetFormatPr defaultRowHeight="14.4" x14ac:dyDescent="0.3"/>
  <cols>
    <col min="1" max="1" width="11" customWidth="1"/>
    <col min="2" max="3" width="21" customWidth="1"/>
    <col min="4" max="4" width="25" customWidth="1"/>
    <col min="5" max="5" width="22" style="6" customWidth="1"/>
    <col min="6" max="6" width="23" customWidth="1"/>
    <col min="7" max="7" width="27" customWidth="1"/>
    <col min="8" max="8" width="22" customWidth="1"/>
    <col min="9" max="9" width="20" customWidth="1"/>
    <col min="10" max="11" width="18" customWidth="1"/>
    <col min="12" max="12" width="27" customWidth="1"/>
  </cols>
  <sheetData>
    <row r="1" spans="1:12" x14ac:dyDescent="0.3">
      <c r="A1" s="19" t="s">
        <v>0</v>
      </c>
      <c r="B1" s="20" t="s">
        <v>1</v>
      </c>
      <c r="C1" s="21" t="s">
        <v>2</v>
      </c>
      <c r="D1" s="20" t="s">
        <v>3</v>
      </c>
      <c r="E1" s="22" t="s">
        <v>4</v>
      </c>
      <c r="F1" s="20" t="s">
        <v>5</v>
      </c>
      <c r="G1" s="20" t="s">
        <v>6</v>
      </c>
      <c r="H1" s="20" t="s">
        <v>7</v>
      </c>
      <c r="I1" s="20" t="s">
        <v>9</v>
      </c>
      <c r="J1" s="20" t="s">
        <v>11</v>
      </c>
      <c r="K1" s="21" t="s">
        <v>12</v>
      </c>
      <c r="L1" s="23" t="s">
        <v>14</v>
      </c>
    </row>
    <row r="2" spans="1:12" x14ac:dyDescent="0.3">
      <c r="A2" s="17">
        <v>6</v>
      </c>
      <c r="B2" s="4" t="s">
        <v>15</v>
      </c>
      <c r="C2" s="3" t="s">
        <v>16</v>
      </c>
      <c r="D2" s="5" t="s">
        <v>17</v>
      </c>
      <c r="E2" s="7">
        <v>2022</v>
      </c>
      <c r="F2" s="15">
        <v>79500</v>
      </c>
      <c r="G2" s="5" t="s">
        <v>18</v>
      </c>
      <c r="H2" s="5" t="s">
        <v>19</v>
      </c>
      <c r="I2" s="5" t="s">
        <v>21</v>
      </c>
      <c r="J2" s="5" t="s">
        <v>23</v>
      </c>
      <c r="K2" s="3" t="s">
        <v>24</v>
      </c>
      <c r="L2" s="18" t="s">
        <v>26</v>
      </c>
    </row>
    <row r="3" spans="1:12" x14ac:dyDescent="0.3">
      <c r="A3" s="17">
        <v>7</v>
      </c>
      <c r="B3" s="5" t="s">
        <v>27</v>
      </c>
      <c r="C3" s="3" t="s">
        <v>28</v>
      </c>
      <c r="D3" s="5" t="s">
        <v>29</v>
      </c>
      <c r="E3" s="7">
        <v>2024</v>
      </c>
      <c r="F3" s="15">
        <v>235000</v>
      </c>
      <c r="G3" s="5" t="s">
        <v>30</v>
      </c>
      <c r="H3" s="5" t="s">
        <v>31</v>
      </c>
      <c r="I3" s="5" t="s">
        <v>32</v>
      </c>
      <c r="J3" s="5" t="s">
        <v>34</v>
      </c>
      <c r="K3" s="3" t="s">
        <v>35</v>
      </c>
      <c r="L3" s="18" t="s">
        <v>26</v>
      </c>
    </row>
    <row r="4" spans="1:12" x14ac:dyDescent="0.3">
      <c r="A4" s="17">
        <v>8</v>
      </c>
      <c r="B4" s="5" t="s">
        <v>36</v>
      </c>
      <c r="C4" s="3" t="s">
        <v>37</v>
      </c>
      <c r="D4" s="5" t="s">
        <v>38</v>
      </c>
      <c r="E4" s="7">
        <v>2023</v>
      </c>
      <c r="F4" s="15">
        <v>112750</v>
      </c>
      <c r="G4" s="5" t="s">
        <v>39</v>
      </c>
      <c r="H4" s="5" t="s">
        <v>40</v>
      </c>
      <c r="I4" s="5" t="s">
        <v>42</v>
      </c>
      <c r="J4" s="5" t="s">
        <v>44</v>
      </c>
      <c r="K4" s="3" t="s">
        <v>45</v>
      </c>
      <c r="L4" s="18" t="s">
        <v>47</v>
      </c>
    </row>
    <row r="5" spans="1:12" x14ac:dyDescent="0.3">
      <c r="A5" s="17">
        <v>9</v>
      </c>
      <c r="B5" s="4" t="s">
        <v>15</v>
      </c>
      <c r="C5" s="3" t="s">
        <v>48</v>
      </c>
      <c r="D5" s="5" t="s">
        <v>49</v>
      </c>
      <c r="E5" s="7">
        <v>2021</v>
      </c>
      <c r="F5" s="15">
        <v>68900</v>
      </c>
      <c r="G5" s="5" t="s">
        <v>50</v>
      </c>
      <c r="H5" s="5" t="s">
        <v>51</v>
      </c>
      <c r="I5" s="5" t="s">
        <v>52</v>
      </c>
      <c r="J5" s="5" t="s">
        <v>54</v>
      </c>
      <c r="K5" s="3" t="s">
        <v>55</v>
      </c>
      <c r="L5" s="18" t="s">
        <v>56</v>
      </c>
    </row>
    <row r="6" spans="1:12" x14ac:dyDescent="0.3">
      <c r="A6" s="17">
        <v>10</v>
      </c>
      <c r="B6" s="5" t="s">
        <v>57</v>
      </c>
      <c r="C6" s="3" t="s">
        <v>58</v>
      </c>
      <c r="D6" s="5" t="s">
        <v>59</v>
      </c>
      <c r="E6" s="7">
        <v>2024</v>
      </c>
      <c r="F6" s="15">
        <v>121000</v>
      </c>
      <c r="G6" s="5" t="s">
        <v>60</v>
      </c>
      <c r="H6" s="5" t="s">
        <v>61</v>
      </c>
      <c r="I6" s="5" t="s">
        <v>63</v>
      </c>
      <c r="J6" s="5" t="s">
        <v>65</v>
      </c>
      <c r="K6" s="3" t="s">
        <v>66</v>
      </c>
      <c r="L6" s="18" t="s">
        <v>26</v>
      </c>
    </row>
    <row r="7" spans="1:12" x14ac:dyDescent="0.3">
      <c r="A7" s="17">
        <v>11</v>
      </c>
      <c r="B7" s="5" t="s">
        <v>68</v>
      </c>
      <c r="C7" s="3" t="s">
        <v>69</v>
      </c>
      <c r="D7" s="5" t="s">
        <v>70</v>
      </c>
      <c r="E7" s="7">
        <v>2023</v>
      </c>
      <c r="F7" s="15">
        <v>104500</v>
      </c>
      <c r="G7" s="5" t="s">
        <v>71</v>
      </c>
      <c r="H7" s="5" t="s">
        <v>19</v>
      </c>
      <c r="I7" s="5" t="s">
        <v>72</v>
      </c>
      <c r="J7" s="5" t="s">
        <v>73</v>
      </c>
      <c r="K7" s="3" t="s">
        <v>74</v>
      </c>
      <c r="L7" s="18" t="s">
        <v>76</v>
      </c>
    </row>
    <row r="8" spans="1:12" x14ac:dyDescent="0.3">
      <c r="A8" s="17">
        <v>12</v>
      </c>
      <c r="B8" s="5" t="s">
        <v>77</v>
      </c>
      <c r="C8" s="3" t="s">
        <v>78</v>
      </c>
      <c r="D8" s="5" t="s">
        <v>79</v>
      </c>
      <c r="E8" s="7">
        <v>2020</v>
      </c>
      <c r="F8" s="15">
        <v>96300</v>
      </c>
      <c r="G8" s="5" t="s">
        <v>80</v>
      </c>
      <c r="H8" s="5" t="s">
        <v>81</v>
      </c>
      <c r="I8" s="5" t="s">
        <v>83</v>
      </c>
      <c r="J8" s="5" t="s">
        <v>84</v>
      </c>
      <c r="K8" s="3" t="s">
        <v>85</v>
      </c>
      <c r="L8" s="18" t="s">
        <v>26</v>
      </c>
    </row>
    <row r="9" spans="1:12" x14ac:dyDescent="0.3">
      <c r="A9" s="17">
        <v>13</v>
      </c>
      <c r="B9" s="4" t="s">
        <v>15</v>
      </c>
      <c r="C9" s="3" t="s">
        <v>87</v>
      </c>
      <c r="D9" s="5" t="s">
        <v>88</v>
      </c>
      <c r="E9" s="7">
        <v>2022</v>
      </c>
      <c r="F9" s="15">
        <v>89750</v>
      </c>
      <c r="G9" s="5" t="s">
        <v>89</v>
      </c>
      <c r="H9" s="5" t="s">
        <v>31</v>
      </c>
      <c r="I9" s="5" t="s">
        <v>90</v>
      </c>
      <c r="J9" s="5" t="s">
        <v>65</v>
      </c>
      <c r="K9" s="3" t="s">
        <v>91</v>
      </c>
      <c r="L9" s="18" t="s">
        <v>93</v>
      </c>
    </row>
    <row r="10" spans="1:12" x14ac:dyDescent="0.3">
      <c r="A10" s="17">
        <v>14</v>
      </c>
      <c r="B10" s="5" t="s">
        <v>94</v>
      </c>
      <c r="C10" s="3" t="s">
        <v>95</v>
      </c>
      <c r="D10" s="5" t="s">
        <v>96</v>
      </c>
      <c r="E10" s="7">
        <v>2021</v>
      </c>
      <c r="F10" s="15">
        <v>73500</v>
      </c>
      <c r="G10" s="5" t="s">
        <v>97</v>
      </c>
      <c r="H10" s="5" t="s">
        <v>98</v>
      </c>
      <c r="I10" s="5" t="s">
        <v>100</v>
      </c>
      <c r="J10" s="5" t="s">
        <v>101</v>
      </c>
      <c r="K10" s="3" t="s">
        <v>102</v>
      </c>
      <c r="L10" s="18" t="s">
        <v>104</v>
      </c>
    </row>
    <row r="11" spans="1:12" x14ac:dyDescent="0.3">
      <c r="A11" s="17">
        <v>15</v>
      </c>
      <c r="B11" s="5" t="s">
        <v>105</v>
      </c>
      <c r="C11" s="3" t="s">
        <v>106</v>
      </c>
      <c r="D11" s="5" t="s">
        <v>107</v>
      </c>
      <c r="E11" s="7">
        <v>2024</v>
      </c>
      <c r="F11" s="15">
        <v>95000</v>
      </c>
      <c r="G11" s="5" t="s">
        <v>108</v>
      </c>
      <c r="H11" s="5" t="s">
        <v>40</v>
      </c>
      <c r="I11" s="5" t="s">
        <v>110</v>
      </c>
      <c r="J11" s="5" t="s">
        <v>112</v>
      </c>
      <c r="K11" s="3" t="s">
        <v>113</v>
      </c>
      <c r="L11" s="18" t="s">
        <v>47</v>
      </c>
    </row>
    <row r="12" spans="1:12" x14ac:dyDescent="0.3">
      <c r="A12" s="17">
        <v>16</v>
      </c>
      <c r="B12" s="5" t="s">
        <v>114</v>
      </c>
      <c r="C12" s="3" t="s">
        <v>115</v>
      </c>
      <c r="D12" s="5" t="s">
        <v>116</v>
      </c>
      <c r="E12" s="7">
        <v>2023</v>
      </c>
      <c r="F12" s="15">
        <v>153200.5</v>
      </c>
      <c r="G12" s="5" t="s">
        <v>117</v>
      </c>
      <c r="H12" s="5" t="s">
        <v>118</v>
      </c>
      <c r="I12" s="5" t="s">
        <v>120</v>
      </c>
      <c r="J12" s="5" t="s">
        <v>44</v>
      </c>
      <c r="K12" s="3" t="s">
        <v>121</v>
      </c>
      <c r="L12" s="18" t="s">
        <v>26</v>
      </c>
    </row>
    <row r="13" spans="1:12" x14ac:dyDescent="0.3">
      <c r="A13" s="17">
        <v>17</v>
      </c>
      <c r="B13" s="4" t="s">
        <v>15</v>
      </c>
      <c r="C13" s="3" t="s">
        <v>122</v>
      </c>
      <c r="D13" s="5" t="s">
        <v>123</v>
      </c>
      <c r="E13" s="7">
        <v>2024</v>
      </c>
      <c r="F13" s="15">
        <v>241000</v>
      </c>
      <c r="G13" s="5" t="s">
        <v>124</v>
      </c>
      <c r="H13" s="5" t="s">
        <v>31</v>
      </c>
      <c r="I13" s="5" t="s">
        <v>125</v>
      </c>
      <c r="J13" s="5" t="s">
        <v>126</v>
      </c>
      <c r="K13" s="3" t="s">
        <v>127</v>
      </c>
      <c r="L13" s="18" t="s">
        <v>56</v>
      </c>
    </row>
    <row r="14" spans="1:12" x14ac:dyDescent="0.3">
      <c r="A14" s="17">
        <v>18</v>
      </c>
      <c r="B14" s="5" t="s">
        <v>128</v>
      </c>
      <c r="C14" s="3" t="s">
        <v>129</v>
      </c>
      <c r="D14" s="5" t="s">
        <v>130</v>
      </c>
      <c r="E14" s="7">
        <v>2022</v>
      </c>
      <c r="F14" s="15">
        <v>132000</v>
      </c>
      <c r="G14" s="5" t="s">
        <v>131</v>
      </c>
      <c r="H14" s="5" t="s">
        <v>51</v>
      </c>
      <c r="I14" s="5" t="s">
        <v>133</v>
      </c>
      <c r="J14" s="5" t="s">
        <v>65</v>
      </c>
      <c r="K14" s="3" t="s">
        <v>135</v>
      </c>
      <c r="L14" s="18" t="s">
        <v>26</v>
      </c>
    </row>
    <row r="15" spans="1:12" x14ac:dyDescent="0.3">
      <c r="A15" s="17">
        <v>19</v>
      </c>
      <c r="B15" s="5" t="s">
        <v>137</v>
      </c>
      <c r="C15" s="3" t="s">
        <v>138</v>
      </c>
      <c r="D15" s="5" t="s">
        <v>139</v>
      </c>
      <c r="E15" s="7">
        <v>2024</v>
      </c>
      <c r="F15" s="15">
        <v>188000</v>
      </c>
      <c r="G15" s="5" t="s">
        <v>140</v>
      </c>
      <c r="H15" s="5" t="s">
        <v>141</v>
      </c>
      <c r="I15" s="5" t="s">
        <v>142</v>
      </c>
      <c r="J15" s="5" t="s">
        <v>44</v>
      </c>
      <c r="K15" s="3" t="s">
        <v>144</v>
      </c>
      <c r="L15" s="18" t="s">
        <v>146</v>
      </c>
    </row>
    <row r="16" spans="1:12" x14ac:dyDescent="0.3">
      <c r="A16" s="17">
        <v>20</v>
      </c>
      <c r="B16" s="5" t="s">
        <v>147</v>
      </c>
      <c r="C16" s="3" t="s">
        <v>148</v>
      </c>
      <c r="D16" s="5" t="s">
        <v>150</v>
      </c>
      <c r="E16" s="7">
        <v>2023</v>
      </c>
      <c r="F16" s="15">
        <v>127800</v>
      </c>
      <c r="G16" s="5" t="s">
        <v>151</v>
      </c>
      <c r="H16" s="5" t="s">
        <v>19</v>
      </c>
      <c r="I16" s="5" t="s">
        <v>153</v>
      </c>
      <c r="J16" s="5" t="s">
        <v>155</v>
      </c>
      <c r="K16" s="3" t="s">
        <v>156</v>
      </c>
      <c r="L16" s="18" t="s">
        <v>26</v>
      </c>
    </row>
    <row r="17" spans="1:12" x14ac:dyDescent="0.3">
      <c r="A17" s="17">
        <v>21</v>
      </c>
      <c r="B17" s="5" t="s">
        <v>157</v>
      </c>
      <c r="C17" s="3" t="s">
        <v>158</v>
      </c>
      <c r="D17" s="5" t="s">
        <v>159</v>
      </c>
      <c r="E17" s="7">
        <v>2021</v>
      </c>
      <c r="F17" s="15">
        <v>58900</v>
      </c>
      <c r="G17" s="5" t="s">
        <v>160</v>
      </c>
      <c r="H17" s="5" t="s">
        <v>61</v>
      </c>
      <c r="I17" s="5" t="s">
        <v>161</v>
      </c>
      <c r="J17" s="5" t="s">
        <v>73</v>
      </c>
      <c r="K17" s="3" t="s">
        <v>163</v>
      </c>
      <c r="L17" s="18" t="s">
        <v>56</v>
      </c>
    </row>
    <row r="18" spans="1:12" x14ac:dyDescent="0.3">
      <c r="A18" s="17">
        <v>22</v>
      </c>
      <c r="B18" s="4" t="s">
        <v>15</v>
      </c>
      <c r="C18" s="3" t="s">
        <v>164</v>
      </c>
      <c r="D18" s="5" t="s">
        <v>165</v>
      </c>
      <c r="E18" s="7">
        <v>2024</v>
      </c>
      <c r="F18" s="15">
        <v>164000</v>
      </c>
      <c r="G18" s="5" t="s">
        <v>166</v>
      </c>
      <c r="H18" s="5" t="s">
        <v>40</v>
      </c>
      <c r="I18" s="5" t="s">
        <v>168</v>
      </c>
      <c r="J18" s="5" t="s">
        <v>169</v>
      </c>
      <c r="K18" s="3" t="s">
        <v>170</v>
      </c>
      <c r="L18" s="18" t="s">
        <v>47</v>
      </c>
    </row>
    <row r="19" spans="1:12" x14ac:dyDescent="0.3">
      <c r="A19" s="17">
        <v>23</v>
      </c>
      <c r="B19" s="5" t="s">
        <v>172</v>
      </c>
      <c r="C19" s="3" t="s">
        <v>173</v>
      </c>
      <c r="D19" s="5" t="s">
        <v>174</v>
      </c>
      <c r="E19" s="7">
        <v>2023</v>
      </c>
      <c r="F19" s="15">
        <v>118500</v>
      </c>
      <c r="G19" s="5" t="s">
        <v>175</v>
      </c>
      <c r="H19" s="5" t="s">
        <v>31</v>
      </c>
      <c r="I19" s="5" t="s">
        <v>176</v>
      </c>
      <c r="J19" s="5" t="s">
        <v>178</v>
      </c>
      <c r="K19" s="3" t="s">
        <v>179</v>
      </c>
      <c r="L19" s="18" t="s">
        <v>26</v>
      </c>
    </row>
    <row r="20" spans="1:12" x14ac:dyDescent="0.3">
      <c r="A20" s="17">
        <v>24</v>
      </c>
      <c r="B20" s="4" t="s">
        <v>15</v>
      </c>
      <c r="C20" s="3" t="s">
        <v>180</v>
      </c>
      <c r="D20" s="5" t="s">
        <v>181</v>
      </c>
      <c r="E20" s="7">
        <v>2022</v>
      </c>
      <c r="F20" s="15">
        <v>91300</v>
      </c>
      <c r="G20" s="5" t="s">
        <v>182</v>
      </c>
      <c r="H20" s="5" t="s">
        <v>19</v>
      </c>
      <c r="I20" s="5" t="s">
        <v>184</v>
      </c>
      <c r="J20" s="5" t="s">
        <v>185</v>
      </c>
      <c r="K20" s="3" t="s">
        <v>186</v>
      </c>
      <c r="L20" s="18" t="s">
        <v>56</v>
      </c>
    </row>
    <row r="21" spans="1:12" x14ac:dyDescent="0.3">
      <c r="A21" s="17">
        <v>25</v>
      </c>
      <c r="B21" s="5" t="s">
        <v>188</v>
      </c>
      <c r="C21" s="3" t="s">
        <v>189</v>
      </c>
      <c r="D21" s="5" t="s">
        <v>190</v>
      </c>
      <c r="E21" s="7">
        <v>2024</v>
      </c>
      <c r="F21" s="15">
        <v>158750</v>
      </c>
      <c r="G21" s="5" t="s">
        <v>191</v>
      </c>
      <c r="H21" s="5" t="s">
        <v>81</v>
      </c>
      <c r="I21" s="5" t="s">
        <v>193</v>
      </c>
      <c r="J21" s="5" t="s">
        <v>195</v>
      </c>
      <c r="K21" s="3" t="s">
        <v>196</v>
      </c>
      <c r="L21" s="18" t="s">
        <v>26</v>
      </c>
    </row>
    <row r="22" spans="1:12" x14ac:dyDescent="0.3">
      <c r="A22" s="17">
        <v>26</v>
      </c>
      <c r="B22" s="5" t="s">
        <v>197</v>
      </c>
      <c r="C22" s="3" t="s">
        <v>198</v>
      </c>
      <c r="D22" s="5" t="s">
        <v>199</v>
      </c>
      <c r="E22" s="7">
        <v>2020</v>
      </c>
      <c r="F22" s="15">
        <v>72000</v>
      </c>
      <c r="G22" s="5" t="s">
        <v>200</v>
      </c>
      <c r="H22" s="5" t="s">
        <v>61</v>
      </c>
      <c r="I22" s="5" t="s">
        <v>201</v>
      </c>
      <c r="J22" s="5" t="s">
        <v>203</v>
      </c>
      <c r="K22" s="3" t="s">
        <v>204</v>
      </c>
      <c r="L22" s="18" t="s">
        <v>76</v>
      </c>
    </row>
    <row r="23" spans="1:12" x14ac:dyDescent="0.3">
      <c r="A23" s="17">
        <v>27</v>
      </c>
      <c r="B23" s="5" t="s">
        <v>205</v>
      </c>
      <c r="C23" s="3" t="s">
        <v>206</v>
      </c>
      <c r="D23" s="5" t="s">
        <v>207</v>
      </c>
      <c r="E23" s="7">
        <v>2025</v>
      </c>
      <c r="F23" s="15">
        <v>86500</v>
      </c>
      <c r="G23" s="5" t="s">
        <v>60</v>
      </c>
      <c r="H23" s="5" t="s">
        <v>31</v>
      </c>
      <c r="I23" s="5" t="s">
        <v>209</v>
      </c>
      <c r="J23" s="5" t="s">
        <v>44</v>
      </c>
      <c r="K23" s="3" t="s">
        <v>210</v>
      </c>
      <c r="L23" s="18" t="s">
        <v>26</v>
      </c>
    </row>
    <row r="24" spans="1:12" x14ac:dyDescent="0.3">
      <c r="A24" s="17">
        <v>28</v>
      </c>
      <c r="B24" s="4" t="s">
        <v>15</v>
      </c>
      <c r="C24" s="3" t="s">
        <v>211</v>
      </c>
      <c r="D24" s="5" t="s">
        <v>212</v>
      </c>
      <c r="E24" s="7">
        <v>2024</v>
      </c>
      <c r="F24" s="15">
        <v>270000</v>
      </c>
      <c r="G24" s="5" t="s">
        <v>213</v>
      </c>
      <c r="H24" s="5" t="s">
        <v>51</v>
      </c>
      <c r="I24" s="5" t="s">
        <v>214</v>
      </c>
      <c r="J24" s="5" t="s">
        <v>216</v>
      </c>
      <c r="K24" s="3" t="s">
        <v>217</v>
      </c>
      <c r="L24" s="18" t="s">
        <v>219</v>
      </c>
    </row>
    <row r="25" spans="1:12" x14ac:dyDescent="0.3">
      <c r="A25" s="17">
        <v>29</v>
      </c>
      <c r="B25" s="5" t="s">
        <v>220</v>
      </c>
      <c r="C25" s="3" t="s">
        <v>221</v>
      </c>
      <c r="D25" s="5" t="s">
        <v>222</v>
      </c>
      <c r="E25" s="7">
        <v>2023</v>
      </c>
      <c r="F25" s="15">
        <v>139000</v>
      </c>
      <c r="G25" s="5" t="s">
        <v>223</v>
      </c>
      <c r="H25" s="5" t="s">
        <v>40</v>
      </c>
      <c r="I25" s="5" t="s">
        <v>224</v>
      </c>
      <c r="J25" s="5" t="s">
        <v>178</v>
      </c>
      <c r="K25" s="3" t="s">
        <v>225</v>
      </c>
      <c r="L25" s="18" t="s">
        <v>47</v>
      </c>
    </row>
    <row r="26" spans="1:12" x14ac:dyDescent="0.3">
      <c r="A26" s="17">
        <v>30</v>
      </c>
      <c r="B26" s="5" t="s">
        <v>226</v>
      </c>
      <c r="C26" s="3" t="s">
        <v>227</v>
      </c>
      <c r="D26" s="5" t="s">
        <v>228</v>
      </c>
      <c r="E26" s="7">
        <v>2021</v>
      </c>
      <c r="F26" s="15">
        <v>76800</v>
      </c>
      <c r="G26" s="5" t="s">
        <v>229</v>
      </c>
      <c r="H26" s="5" t="s">
        <v>19</v>
      </c>
      <c r="I26" s="5" t="s">
        <v>230</v>
      </c>
      <c r="J26" s="5" t="s">
        <v>232</v>
      </c>
      <c r="K26" s="3" t="s">
        <v>233</v>
      </c>
      <c r="L26" s="18" t="s">
        <v>26</v>
      </c>
    </row>
    <row r="27" spans="1:12" x14ac:dyDescent="0.3">
      <c r="A27" s="17">
        <v>31</v>
      </c>
      <c r="B27" s="4" t="s">
        <v>15</v>
      </c>
      <c r="C27" s="3" t="s">
        <v>234</v>
      </c>
      <c r="D27" s="5" t="s">
        <v>235</v>
      </c>
      <c r="E27" s="7">
        <v>2024</v>
      </c>
      <c r="F27" s="15">
        <v>173600</v>
      </c>
      <c r="G27" s="5" t="s">
        <v>236</v>
      </c>
      <c r="H27" s="5" t="s">
        <v>31</v>
      </c>
      <c r="I27" s="5" t="s">
        <v>237</v>
      </c>
      <c r="J27" s="5" t="s">
        <v>239</v>
      </c>
      <c r="K27" s="3" t="s">
        <v>240</v>
      </c>
      <c r="L27" s="18" t="s">
        <v>56</v>
      </c>
    </row>
    <row r="28" spans="1:12" x14ac:dyDescent="0.3">
      <c r="A28" s="17">
        <v>32</v>
      </c>
      <c r="B28" s="5" t="s">
        <v>241</v>
      </c>
      <c r="C28" s="3" t="s">
        <v>242</v>
      </c>
      <c r="D28" s="5" t="s">
        <v>243</v>
      </c>
      <c r="E28" s="7">
        <v>2022</v>
      </c>
      <c r="F28" s="15">
        <v>119900</v>
      </c>
      <c r="G28" s="5" t="s">
        <v>244</v>
      </c>
      <c r="H28" s="5" t="s">
        <v>51</v>
      </c>
      <c r="I28" s="5" t="s">
        <v>246</v>
      </c>
      <c r="J28" s="5" t="s">
        <v>248</v>
      </c>
      <c r="K28" s="3" t="s">
        <v>249</v>
      </c>
      <c r="L28" s="18" t="s">
        <v>26</v>
      </c>
    </row>
    <row r="29" spans="1:12" x14ac:dyDescent="0.3">
      <c r="A29" s="17">
        <v>33</v>
      </c>
      <c r="B29" s="5" t="s">
        <v>250</v>
      </c>
      <c r="C29" s="3" t="s">
        <v>251</v>
      </c>
      <c r="D29" s="5" t="s">
        <v>252</v>
      </c>
      <c r="E29" s="7">
        <v>2023</v>
      </c>
      <c r="F29" s="15">
        <v>109250</v>
      </c>
      <c r="G29" s="5" t="s">
        <v>253</v>
      </c>
      <c r="H29" s="5" t="s">
        <v>81</v>
      </c>
      <c r="I29" s="5" t="s">
        <v>254</v>
      </c>
      <c r="J29" s="5" t="s">
        <v>44</v>
      </c>
      <c r="K29" s="3" t="s">
        <v>255</v>
      </c>
      <c r="L29" s="18" t="s">
        <v>47</v>
      </c>
    </row>
    <row r="30" spans="1:12" x14ac:dyDescent="0.3">
      <c r="A30" s="17">
        <v>34</v>
      </c>
      <c r="B30" s="5" t="s">
        <v>256</v>
      </c>
      <c r="C30" s="3" t="s">
        <v>257</v>
      </c>
      <c r="D30" s="5" t="s">
        <v>258</v>
      </c>
      <c r="E30" s="7">
        <v>2022</v>
      </c>
      <c r="F30" s="15">
        <v>82000</v>
      </c>
      <c r="G30" s="5" t="s">
        <v>259</v>
      </c>
      <c r="H30" s="5" t="s">
        <v>31</v>
      </c>
      <c r="I30" s="5" t="s">
        <v>260</v>
      </c>
      <c r="J30" s="5" t="s">
        <v>73</v>
      </c>
      <c r="K30" s="3" t="s">
        <v>261</v>
      </c>
      <c r="L30" s="18" t="s">
        <v>26</v>
      </c>
    </row>
    <row r="31" spans="1:12" x14ac:dyDescent="0.3">
      <c r="A31" s="17">
        <v>35</v>
      </c>
      <c r="B31" s="5" t="s">
        <v>262</v>
      </c>
      <c r="C31" s="3" t="s">
        <v>263</v>
      </c>
      <c r="D31" s="5" t="s">
        <v>264</v>
      </c>
      <c r="E31" s="7">
        <v>2025</v>
      </c>
      <c r="F31" s="15">
        <v>214000</v>
      </c>
      <c r="G31" s="5" t="s">
        <v>60</v>
      </c>
      <c r="H31" s="5" t="s">
        <v>141</v>
      </c>
      <c r="I31" s="5" t="s">
        <v>90</v>
      </c>
      <c r="J31" s="5" t="s">
        <v>65</v>
      </c>
      <c r="K31" s="3" t="s">
        <v>265</v>
      </c>
      <c r="L31" s="18" t="s">
        <v>267</v>
      </c>
    </row>
    <row r="32" spans="1:12" x14ac:dyDescent="0.3">
      <c r="A32" s="17">
        <v>36</v>
      </c>
      <c r="B32" s="4" t="s">
        <v>15</v>
      </c>
      <c r="C32" s="3" t="s">
        <v>268</v>
      </c>
      <c r="D32" s="5" t="s">
        <v>150</v>
      </c>
      <c r="E32" s="7">
        <v>2024</v>
      </c>
      <c r="F32" s="15">
        <v>124500</v>
      </c>
      <c r="G32" s="5" t="s">
        <v>269</v>
      </c>
      <c r="H32" s="5" t="s">
        <v>19</v>
      </c>
      <c r="I32" s="5" t="s">
        <v>271</v>
      </c>
      <c r="J32" s="5" t="s">
        <v>73</v>
      </c>
      <c r="K32" s="3" t="s">
        <v>272</v>
      </c>
      <c r="L32" s="18" t="s">
        <v>26</v>
      </c>
    </row>
    <row r="33" spans="1:12" x14ac:dyDescent="0.3">
      <c r="A33" s="17">
        <v>37</v>
      </c>
      <c r="B33" s="5" t="s">
        <v>273</v>
      </c>
      <c r="C33" s="3" t="s">
        <v>274</v>
      </c>
      <c r="D33" s="5" t="s">
        <v>181</v>
      </c>
      <c r="E33" s="7">
        <v>2023</v>
      </c>
      <c r="F33" s="15">
        <v>98200</v>
      </c>
      <c r="G33" s="5" t="s">
        <v>275</v>
      </c>
      <c r="H33" s="5" t="s">
        <v>61</v>
      </c>
      <c r="I33" s="5" t="s">
        <v>276</v>
      </c>
      <c r="J33" s="5" t="s">
        <v>65</v>
      </c>
      <c r="K33" s="3" t="s">
        <v>277</v>
      </c>
      <c r="L33" s="18" t="s">
        <v>56</v>
      </c>
    </row>
    <row r="34" spans="1:12" x14ac:dyDescent="0.3">
      <c r="A34" s="17">
        <v>38</v>
      </c>
      <c r="B34" s="5" t="s">
        <v>278</v>
      </c>
      <c r="C34" s="3" t="s">
        <v>279</v>
      </c>
      <c r="D34" s="5" t="s">
        <v>159</v>
      </c>
      <c r="E34" s="7">
        <v>2022</v>
      </c>
      <c r="F34" s="15">
        <v>67500</v>
      </c>
      <c r="G34" s="5" t="s">
        <v>280</v>
      </c>
      <c r="H34" s="5" t="s">
        <v>40</v>
      </c>
      <c r="I34" s="5" t="s">
        <v>282</v>
      </c>
      <c r="J34" s="5" t="s">
        <v>239</v>
      </c>
      <c r="K34" s="3" t="s">
        <v>283</v>
      </c>
      <c r="L34" s="18" t="s">
        <v>26</v>
      </c>
    </row>
    <row r="35" spans="1:12" x14ac:dyDescent="0.3">
      <c r="A35" s="17">
        <v>39</v>
      </c>
      <c r="B35" s="5" t="s">
        <v>284</v>
      </c>
      <c r="C35" s="3" t="s">
        <v>285</v>
      </c>
      <c r="D35" s="5" t="s">
        <v>286</v>
      </c>
      <c r="E35" s="7">
        <v>2025</v>
      </c>
      <c r="F35" s="15">
        <v>116900</v>
      </c>
      <c r="G35" s="5" t="s">
        <v>60</v>
      </c>
      <c r="H35" s="5" t="s">
        <v>31</v>
      </c>
      <c r="I35" s="5" t="s">
        <v>287</v>
      </c>
      <c r="J35" s="5" t="s">
        <v>289</v>
      </c>
      <c r="K35" s="3" t="s">
        <v>290</v>
      </c>
      <c r="L35" s="18" t="s">
        <v>47</v>
      </c>
    </row>
    <row r="36" spans="1:12" x14ac:dyDescent="0.3">
      <c r="A36" s="17">
        <v>40</v>
      </c>
      <c r="B36" s="5" t="s">
        <v>291</v>
      </c>
      <c r="C36" s="3" t="s">
        <v>292</v>
      </c>
      <c r="D36" s="5" t="s">
        <v>293</v>
      </c>
      <c r="E36" s="7">
        <v>2024</v>
      </c>
      <c r="F36" s="15">
        <v>112000</v>
      </c>
      <c r="G36" s="5" t="s">
        <v>294</v>
      </c>
      <c r="H36" s="5" t="s">
        <v>51</v>
      </c>
      <c r="I36" s="5" t="s">
        <v>295</v>
      </c>
      <c r="J36" s="5" t="s">
        <v>296</v>
      </c>
      <c r="K36" s="3" t="s">
        <v>297</v>
      </c>
      <c r="L36" s="18" t="s">
        <v>26</v>
      </c>
    </row>
    <row r="37" spans="1:12" x14ac:dyDescent="0.3">
      <c r="A37" s="17">
        <v>41</v>
      </c>
      <c r="B37" s="5" t="s">
        <v>298</v>
      </c>
      <c r="C37" s="3" t="s">
        <v>299</v>
      </c>
      <c r="D37" s="5" t="s">
        <v>96</v>
      </c>
      <c r="E37" s="7">
        <v>2021</v>
      </c>
      <c r="F37" s="15">
        <v>74000</v>
      </c>
      <c r="G37" s="5" t="s">
        <v>300</v>
      </c>
      <c r="H37" s="5" t="s">
        <v>98</v>
      </c>
      <c r="I37" s="5" t="s">
        <v>302</v>
      </c>
      <c r="J37" s="5" t="s">
        <v>304</v>
      </c>
      <c r="K37" s="3" t="s">
        <v>305</v>
      </c>
      <c r="L37" s="18" t="s">
        <v>76</v>
      </c>
    </row>
    <row r="38" spans="1:12" x14ac:dyDescent="0.3">
      <c r="A38" s="17">
        <v>42</v>
      </c>
      <c r="B38" s="5" t="s">
        <v>306</v>
      </c>
      <c r="C38" s="3" t="s">
        <v>307</v>
      </c>
      <c r="D38" s="5" t="s">
        <v>308</v>
      </c>
      <c r="E38" s="7">
        <v>2024</v>
      </c>
      <c r="F38" s="15">
        <v>198300</v>
      </c>
      <c r="G38" s="5" t="s">
        <v>309</v>
      </c>
      <c r="H38" s="5" t="s">
        <v>31</v>
      </c>
      <c r="I38" s="5" t="s">
        <v>310</v>
      </c>
      <c r="J38" s="5" t="s">
        <v>312</v>
      </c>
      <c r="K38" s="3" t="s">
        <v>313</v>
      </c>
      <c r="L38" s="18" t="s">
        <v>146</v>
      </c>
    </row>
    <row r="39" spans="1:12" x14ac:dyDescent="0.3">
      <c r="A39" s="17">
        <v>43</v>
      </c>
      <c r="B39" s="4" t="s">
        <v>15</v>
      </c>
      <c r="C39" s="3" t="s">
        <v>314</v>
      </c>
      <c r="D39" s="5" t="s">
        <v>38</v>
      </c>
      <c r="E39" s="7">
        <v>2023</v>
      </c>
      <c r="F39" s="15">
        <v>103750</v>
      </c>
      <c r="G39" s="5" t="s">
        <v>315</v>
      </c>
      <c r="H39" s="5" t="s">
        <v>31</v>
      </c>
      <c r="I39" s="5" t="s">
        <v>316</v>
      </c>
      <c r="J39" s="5" t="s">
        <v>112</v>
      </c>
      <c r="K39" s="3" t="s">
        <v>317</v>
      </c>
      <c r="L39" s="18" t="s">
        <v>93</v>
      </c>
    </row>
    <row r="40" spans="1:12" x14ac:dyDescent="0.3">
      <c r="A40" s="17">
        <v>44</v>
      </c>
      <c r="B40" s="4" t="s">
        <v>15</v>
      </c>
      <c r="C40" s="3" t="s">
        <v>318</v>
      </c>
      <c r="D40" s="5" t="s">
        <v>107</v>
      </c>
      <c r="E40" s="7">
        <v>2024</v>
      </c>
      <c r="F40" s="15">
        <v>93600</v>
      </c>
      <c r="G40" s="5" t="s">
        <v>319</v>
      </c>
      <c r="H40" s="5" t="s">
        <v>40</v>
      </c>
      <c r="I40" s="5" t="s">
        <v>321</v>
      </c>
      <c r="J40" s="5" t="s">
        <v>65</v>
      </c>
      <c r="K40" s="3" t="s">
        <v>322</v>
      </c>
      <c r="L40" s="18" t="s">
        <v>104</v>
      </c>
    </row>
    <row r="41" spans="1:12" x14ac:dyDescent="0.3">
      <c r="A41" s="17">
        <v>45</v>
      </c>
      <c r="B41" s="5" t="s">
        <v>323</v>
      </c>
      <c r="C41" s="3" t="s">
        <v>324</v>
      </c>
      <c r="D41" s="5" t="s">
        <v>59</v>
      </c>
      <c r="E41" s="7">
        <v>2025</v>
      </c>
      <c r="F41" s="15">
        <v>129000</v>
      </c>
      <c r="G41" s="5" t="s">
        <v>60</v>
      </c>
      <c r="H41" s="5" t="s">
        <v>118</v>
      </c>
      <c r="I41" s="5" t="s">
        <v>325</v>
      </c>
      <c r="J41" s="5" t="s">
        <v>326</v>
      </c>
      <c r="K41" s="3" t="s">
        <v>327</v>
      </c>
      <c r="L41" s="18" t="s">
        <v>47</v>
      </c>
    </row>
    <row r="42" spans="1:12" x14ac:dyDescent="0.3">
      <c r="A42" s="17">
        <v>46</v>
      </c>
      <c r="B42" s="5" t="s">
        <v>328</v>
      </c>
      <c r="C42" s="3" t="s">
        <v>329</v>
      </c>
      <c r="D42" s="5" t="s">
        <v>330</v>
      </c>
      <c r="E42" s="7">
        <v>2022</v>
      </c>
      <c r="F42" s="15">
        <v>136000</v>
      </c>
      <c r="G42" s="5" t="s">
        <v>331</v>
      </c>
      <c r="H42" s="5" t="s">
        <v>19</v>
      </c>
      <c r="I42" s="5" t="s">
        <v>333</v>
      </c>
      <c r="J42" s="5" t="s">
        <v>54</v>
      </c>
      <c r="K42" s="3" t="s">
        <v>334</v>
      </c>
      <c r="L42" s="18" t="s">
        <v>26</v>
      </c>
    </row>
    <row r="43" spans="1:12" x14ac:dyDescent="0.3">
      <c r="A43" s="17">
        <v>47</v>
      </c>
      <c r="B43" s="4" t="s">
        <v>15</v>
      </c>
      <c r="C43" s="3" t="s">
        <v>335</v>
      </c>
      <c r="D43" s="5" t="s">
        <v>336</v>
      </c>
      <c r="E43" s="7">
        <v>2024</v>
      </c>
      <c r="F43" s="15">
        <v>286500</v>
      </c>
      <c r="G43" s="5" t="s">
        <v>337</v>
      </c>
      <c r="H43" s="5" t="s">
        <v>31</v>
      </c>
      <c r="I43" s="5" t="s">
        <v>338</v>
      </c>
      <c r="J43" s="5" t="s">
        <v>44</v>
      </c>
      <c r="K43" s="3" t="s">
        <v>339</v>
      </c>
      <c r="L43" s="18" t="s">
        <v>56</v>
      </c>
    </row>
    <row r="44" spans="1:12" x14ac:dyDescent="0.3">
      <c r="A44" s="17">
        <v>48</v>
      </c>
      <c r="B44" s="5" t="s">
        <v>340</v>
      </c>
      <c r="C44" s="3" t="s">
        <v>341</v>
      </c>
      <c r="D44" s="5" t="s">
        <v>88</v>
      </c>
      <c r="E44" s="7">
        <v>2023</v>
      </c>
      <c r="F44" s="15">
        <v>92800</v>
      </c>
      <c r="G44" s="5" t="s">
        <v>342</v>
      </c>
      <c r="H44" s="5" t="s">
        <v>81</v>
      </c>
      <c r="I44" s="5" t="s">
        <v>343</v>
      </c>
      <c r="J44" s="5" t="s">
        <v>65</v>
      </c>
      <c r="K44" s="3" t="s">
        <v>344</v>
      </c>
      <c r="L44" s="18" t="s">
        <v>26</v>
      </c>
    </row>
    <row r="45" spans="1:12" x14ac:dyDescent="0.3">
      <c r="A45" s="17">
        <v>49</v>
      </c>
      <c r="B45" s="5" t="s">
        <v>345</v>
      </c>
      <c r="C45" s="3" t="s">
        <v>346</v>
      </c>
      <c r="D45" s="5" t="s">
        <v>258</v>
      </c>
      <c r="E45" s="7">
        <v>2022</v>
      </c>
      <c r="F45" s="15">
        <v>72400</v>
      </c>
      <c r="G45" s="5" t="s">
        <v>347</v>
      </c>
      <c r="H45" s="5" t="s">
        <v>51</v>
      </c>
      <c r="I45" s="5" t="s">
        <v>348</v>
      </c>
      <c r="J45" s="5" t="s">
        <v>112</v>
      </c>
      <c r="K45" s="3" t="s">
        <v>349</v>
      </c>
      <c r="L45" s="18" t="s">
        <v>219</v>
      </c>
    </row>
    <row r="46" spans="1:12" x14ac:dyDescent="0.3">
      <c r="A46" s="17">
        <v>50</v>
      </c>
      <c r="B46" s="5" t="s">
        <v>350</v>
      </c>
      <c r="C46" s="3" t="s">
        <v>351</v>
      </c>
      <c r="D46" s="5" t="s">
        <v>116</v>
      </c>
      <c r="E46" s="7">
        <v>2025</v>
      </c>
      <c r="F46" s="15">
        <v>158500</v>
      </c>
      <c r="G46" s="5" t="s">
        <v>352</v>
      </c>
      <c r="H46" s="5" t="s">
        <v>141</v>
      </c>
      <c r="I46" s="5" t="s">
        <v>153</v>
      </c>
      <c r="J46" s="5" t="s">
        <v>155</v>
      </c>
      <c r="K46" s="3" t="s">
        <v>353</v>
      </c>
      <c r="L46" s="18" t="s">
        <v>26</v>
      </c>
    </row>
    <row r="47" spans="1:12" x14ac:dyDescent="0.3">
      <c r="A47" s="17">
        <v>51</v>
      </c>
      <c r="B47" s="5" t="s">
        <v>354</v>
      </c>
      <c r="C47" s="3" t="s">
        <v>355</v>
      </c>
      <c r="D47" s="5" t="s">
        <v>17</v>
      </c>
      <c r="E47" s="7">
        <v>2021</v>
      </c>
      <c r="F47" s="15">
        <v>69900</v>
      </c>
      <c r="G47" s="5" t="s">
        <v>356</v>
      </c>
      <c r="H47" s="5" t="s">
        <v>61</v>
      </c>
      <c r="I47" s="5" t="s">
        <v>358</v>
      </c>
      <c r="J47" s="5" t="s">
        <v>65</v>
      </c>
      <c r="K47" s="3" t="s">
        <v>359</v>
      </c>
      <c r="L47" s="18" t="s">
        <v>56</v>
      </c>
    </row>
    <row r="48" spans="1:12" x14ac:dyDescent="0.3">
      <c r="A48" s="17">
        <v>52</v>
      </c>
      <c r="B48" s="4" t="s">
        <v>15</v>
      </c>
      <c r="C48" s="3" t="s">
        <v>360</v>
      </c>
      <c r="D48" s="5" t="s">
        <v>361</v>
      </c>
      <c r="E48" s="7">
        <v>2024</v>
      </c>
      <c r="F48" s="15">
        <v>141250</v>
      </c>
      <c r="G48" s="5" t="s">
        <v>140</v>
      </c>
      <c r="H48" s="5" t="s">
        <v>40</v>
      </c>
      <c r="I48" s="5" t="s">
        <v>362</v>
      </c>
      <c r="J48" s="5" t="s">
        <v>65</v>
      </c>
      <c r="K48" s="3" t="s">
        <v>363</v>
      </c>
      <c r="L48" s="18" t="s">
        <v>47</v>
      </c>
    </row>
    <row r="49" spans="1:12" x14ac:dyDescent="0.3">
      <c r="A49" s="17">
        <v>53</v>
      </c>
      <c r="B49" s="5" t="s">
        <v>364</v>
      </c>
      <c r="C49" s="3" t="s">
        <v>365</v>
      </c>
      <c r="D49" s="5" t="s">
        <v>199</v>
      </c>
      <c r="E49" s="7">
        <v>2020</v>
      </c>
      <c r="F49" s="15">
        <v>71500</v>
      </c>
      <c r="G49" s="5" t="s">
        <v>366</v>
      </c>
      <c r="H49" s="5" t="s">
        <v>31</v>
      </c>
      <c r="I49" s="5" t="s">
        <v>367</v>
      </c>
      <c r="J49" s="5" t="s">
        <v>368</v>
      </c>
      <c r="K49" s="3" t="s">
        <v>369</v>
      </c>
      <c r="L49" s="18" t="s">
        <v>26</v>
      </c>
    </row>
    <row r="50" spans="1:12" x14ac:dyDescent="0.3">
      <c r="A50" s="17">
        <v>54</v>
      </c>
      <c r="B50" s="5" t="s">
        <v>370</v>
      </c>
      <c r="C50" s="3" t="s">
        <v>371</v>
      </c>
      <c r="D50" s="5" t="s">
        <v>372</v>
      </c>
      <c r="E50" s="7">
        <v>2023</v>
      </c>
      <c r="F50" s="15">
        <v>146800</v>
      </c>
      <c r="G50" s="5" t="s">
        <v>373</v>
      </c>
      <c r="H50" s="5" t="s">
        <v>19</v>
      </c>
      <c r="I50" s="5" t="s">
        <v>374</v>
      </c>
      <c r="J50" s="5" t="s">
        <v>376</v>
      </c>
      <c r="K50" s="3" t="s">
        <v>377</v>
      </c>
      <c r="L50" s="18" t="s">
        <v>56</v>
      </c>
    </row>
    <row r="51" spans="1:12" x14ac:dyDescent="0.3">
      <c r="A51" s="17">
        <v>55</v>
      </c>
      <c r="B51" s="5" t="s">
        <v>378</v>
      </c>
      <c r="C51" s="3" t="s">
        <v>379</v>
      </c>
      <c r="D51" s="5" t="s">
        <v>207</v>
      </c>
      <c r="E51" s="7">
        <v>2025</v>
      </c>
      <c r="F51" s="15">
        <v>89700</v>
      </c>
      <c r="G51" s="5" t="s">
        <v>60</v>
      </c>
      <c r="H51" s="5" t="s">
        <v>81</v>
      </c>
      <c r="I51" s="5" t="s">
        <v>381</v>
      </c>
      <c r="J51" s="5" t="s">
        <v>383</v>
      </c>
      <c r="K51" s="3" t="s">
        <v>384</v>
      </c>
      <c r="L51" s="18" t="s">
        <v>26</v>
      </c>
    </row>
    <row r="52" spans="1:12" x14ac:dyDescent="0.3">
      <c r="A52" s="17">
        <v>56</v>
      </c>
      <c r="B52" s="5" t="s">
        <v>385</v>
      </c>
      <c r="C52" s="3" t="s">
        <v>386</v>
      </c>
      <c r="D52" s="5" t="s">
        <v>79</v>
      </c>
      <c r="E52" s="7">
        <v>2022</v>
      </c>
      <c r="F52" s="15">
        <v>104600</v>
      </c>
      <c r="G52" s="5" t="s">
        <v>387</v>
      </c>
      <c r="H52" s="5" t="s">
        <v>61</v>
      </c>
      <c r="I52" s="5" t="s">
        <v>388</v>
      </c>
      <c r="J52" s="5" t="s">
        <v>389</v>
      </c>
      <c r="K52" s="3" t="s">
        <v>390</v>
      </c>
      <c r="L52" s="18" t="s">
        <v>76</v>
      </c>
    </row>
    <row r="53" spans="1:12" x14ac:dyDescent="0.3">
      <c r="A53" s="17">
        <v>57</v>
      </c>
      <c r="B53" s="4" t="s">
        <v>15</v>
      </c>
      <c r="C53" s="3" t="s">
        <v>391</v>
      </c>
      <c r="D53" s="5" t="s">
        <v>222</v>
      </c>
      <c r="E53" s="7">
        <v>2024</v>
      </c>
      <c r="F53" s="15">
        <v>142000</v>
      </c>
      <c r="G53" s="5" t="s">
        <v>392</v>
      </c>
      <c r="H53" s="5" t="s">
        <v>31</v>
      </c>
      <c r="I53" s="5" t="s">
        <v>393</v>
      </c>
      <c r="J53" s="5" t="s">
        <v>65</v>
      </c>
      <c r="K53" s="3" t="s">
        <v>210</v>
      </c>
      <c r="L53" s="18" t="s">
        <v>26</v>
      </c>
    </row>
    <row r="54" spans="1:12" x14ac:dyDescent="0.3">
      <c r="A54" s="17">
        <v>58</v>
      </c>
      <c r="B54" s="5" t="s">
        <v>394</v>
      </c>
      <c r="C54" s="3" t="s">
        <v>395</v>
      </c>
      <c r="D54" s="5" t="s">
        <v>228</v>
      </c>
      <c r="E54" s="7">
        <v>2021</v>
      </c>
      <c r="F54" s="15">
        <v>78400</v>
      </c>
      <c r="G54" s="5" t="s">
        <v>396</v>
      </c>
      <c r="H54" s="5" t="s">
        <v>51</v>
      </c>
      <c r="I54" s="5" t="s">
        <v>397</v>
      </c>
      <c r="J54" s="5" t="s">
        <v>126</v>
      </c>
      <c r="K54" s="3" t="s">
        <v>399</v>
      </c>
      <c r="L54" s="18" t="s">
        <v>401</v>
      </c>
    </row>
    <row r="55" spans="1:12" x14ac:dyDescent="0.3">
      <c r="A55" s="17">
        <v>59</v>
      </c>
      <c r="B55" s="4" t="s">
        <v>15</v>
      </c>
      <c r="C55" s="3" t="s">
        <v>402</v>
      </c>
      <c r="D55" s="5" t="s">
        <v>165</v>
      </c>
      <c r="E55" s="7">
        <v>2025</v>
      </c>
      <c r="F55" s="15">
        <v>169000</v>
      </c>
      <c r="G55" s="5" t="s">
        <v>403</v>
      </c>
      <c r="H55" s="5" t="s">
        <v>40</v>
      </c>
      <c r="I55" s="5" t="s">
        <v>404</v>
      </c>
      <c r="J55" s="5" t="s">
        <v>405</v>
      </c>
      <c r="K55" s="3" t="s">
        <v>406</v>
      </c>
      <c r="L55" s="18" t="s">
        <v>47</v>
      </c>
    </row>
    <row r="56" spans="1:12" x14ac:dyDescent="0.3">
      <c r="A56" s="17">
        <v>60</v>
      </c>
      <c r="B56" s="5" t="s">
        <v>407</v>
      </c>
      <c r="C56" s="3" t="s">
        <v>408</v>
      </c>
      <c r="D56" s="5" t="s">
        <v>212</v>
      </c>
      <c r="E56" s="7">
        <v>2024</v>
      </c>
      <c r="F56" s="15">
        <v>268900</v>
      </c>
      <c r="G56" s="5" t="s">
        <v>409</v>
      </c>
      <c r="H56" s="5" t="s">
        <v>19</v>
      </c>
      <c r="I56" s="5" t="s">
        <v>410</v>
      </c>
      <c r="J56" s="5" t="s">
        <v>65</v>
      </c>
      <c r="K56" s="3" t="s">
        <v>411</v>
      </c>
      <c r="L56" s="18" t="s">
        <v>26</v>
      </c>
    </row>
    <row r="57" spans="1:12" x14ac:dyDescent="0.3">
      <c r="A57" s="17">
        <v>61</v>
      </c>
      <c r="B57" s="5" t="s">
        <v>412</v>
      </c>
      <c r="C57" s="3" t="s">
        <v>413</v>
      </c>
      <c r="D57" s="5" t="s">
        <v>70</v>
      </c>
      <c r="E57" s="7">
        <v>2023</v>
      </c>
      <c r="F57" s="15">
        <v>101300</v>
      </c>
      <c r="G57" s="5" t="s">
        <v>414</v>
      </c>
      <c r="H57" s="5" t="s">
        <v>31</v>
      </c>
      <c r="I57" s="5" t="s">
        <v>415</v>
      </c>
      <c r="J57" s="5" t="s">
        <v>44</v>
      </c>
      <c r="K57" s="3" t="s">
        <v>416</v>
      </c>
      <c r="L57" s="18" t="s">
        <v>56</v>
      </c>
    </row>
    <row r="58" spans="1:12" x14ac:dyDescent="0.3">
      <c r="A58" s="17">
        <v>62</v>
      </c>
      <c r="B58" s="5" t="s">
        <v>417</v>
      </c>
      <c r="C58" s="3" t="s">
        <v>418</v>
      </c>
      <c r="D58" s="5" t="s">
        <v>49</v>
      </c>
      <c r="E58" s="7">
        <v>2021</v>
      </c>
      <c r="F58" s="15">
        <v>66750</v>
      </c>
      <c r="G58" s="5" t="s">
        <v>419</v>
      </c>
      <c r="H58" s="5" t="s">
        <v>51</v>
      </c>
      <c r="I58" s="5" t="s">
        <v>420</v>
      </c>
      <c r="J58" s="5" t="s">
        <v>296</v>
      </c>
      <c r="K58" s="3" t="s">
        <v>422</v>
      </c>
      <c r="L58" s="18" t="s">
        <v>26</v>
      </c>
    </row>
    <row r="59" spans="1:12" x14ac:dyDescent="0.3">
      <c r="A59" s="17">
        <v>63</v>
      </c>
      <c r="B59" s="5" t="s">
        <v>423</v>
      </c>
      <c r="C59" s="3" t="s">
        <v>424</v>
      </c>
      <c r="D59" s="5" t="s">
        <v>174</v>
      </c>
      <c r="E59" s="7">
        <v>2024</v>
      </c>
      <c r="F59" s="15">
        <v>127900</v>
      </c>
      <c r="G59" s="5" t="s">
        <v>425</v>
      </c>
      <c r="H59" s="5" t="s">
        <v>81</v>
      </c>
      <c r="I59" s="5" t="s">
        <v>426</v>
      </c>
      <c r="J59" s="5" t="s">
        <v>203</v>
      </c>
      <c r="K59" s="3" t="s">
        <v>427</v>
      </c>
      <c r="L59" s="18" t="s">
        <v>47</v>
      </c>
    </row>
    <row r="60" spans="1:12" x14ac:dyDescent="0.3">
      <c r="A60" s="17">
        <v>64</v>
      </c>
      <c r="B60" s="5" t="s">
        <v>428</v>
      </c>
      <c r="C60" s="3" t="s">
        <v>429</v>
      </c>
      <c r="D60" s="5" t="s">
        <v>139</v>
      </c>
      <c r="E60" s="7">
        <v>2025</v>
      </c>
      <c r="F60" s="15">
        <v>200000</v>
      </c>
      <c r="G60" s="5" t="s">
        <v>430</v>
      </c>
      <c r="H60" s="5" t="s">
        <v>31</v>
      </c>
      <c r="I60" s="5" t="s">
        <v>431</v>
      </c>
      <c r="J60" s="5" t="s">
        <v>239</v>
      </c>
      <c r="K60" s="3" t="s">
        <v>432</v>
      </c>
      <c r="L60" s="18" t="s">
        <v>26</v>
      </c>
    </row>
    <row r="61" spans="1:12" x14ac:dyDescent="0.3">
      <c r="A61" s="17">
        <v>65</v>
      </c>
      <c r="B61" s="5" t="s">
        <v>433</v>
      </c>
      <c r="C61" s="3" t="s">
        <v>434</v>
      </c>
      <c r="D61" s="5" t="s">
        <v>150</v>
      </c>
      <c r="E61" s="7">
        <v>2023</v>
      </c>
      <c r="F61" s="15">
        <v>132000</v>
      </c>
      <c r="G61" s="5" t="s">
        <v>435</v>
      </c>
      <c r="H61" s="5" t="s">
        <v>141</v>
      </c>
      <c r="I61" s="5" t="s">
        <v>436</v>
      </c>
      <c r="J61" s="5" t="s">
        <v>438</v>
      </c>
      <c r="K61" s="3" t="s">
        <v>439</v>
      </c>
      <c r="L61" s="18" t="s">
        <v>267</v>
      </c>
    </row>
    <row r="62" spans="1:12" x14ac:dyDescent="0.3">
      <c r="A62" s="17">
        <v>66</v>
      </c>
      <c r="B62" s="5" t="s">
        <v>440</v>
      </c>
      <c r="C62" s="3" t="s">
        <v>441</v>
      </c>
      <c r="D62" s="5" t="s">
        <v>235</v>
      </c>
      <c r="E62" s="7">
        <v>2024</v>
      </c>
      <c r="F62" s="15">
        <v>176400</v>
      </c>
      <c r="G62" s="5" t="s">
        <v>442</v>
      </c>
      <c r="H62" s="5" t="s">
        <v>19</v>
      </c>
      <c r="I62" s="5" t="s">
        <v>443</v>
      </c>
      <c r="J62" s="5" t="s">
        <v>44</v>
      </c>
      <c r="K62" s="3" t="s">
        <v>444</v>
      </c>
      <c r="L62" s="18" t="s">
        <v>26</v>
      </c>
    </row>
    <row r="63" spans="1:12" x14ac:dyDescent="0.3">
      <c r="A63" s="17">
        <v>67</v>
      </c>
      <c r="B63" s="4" t="s">
        <v>15</v>
      </c>
      <c r="C63" s="3" t="s">
        <v>445</v>
      </c>
      <c r="D63" s="5" t="s">
        <v>252</v>
      </c>
      <c r="E63" s="7">
        <v>2022</v>
      </c>
      <c r="F63" s="15">
        <v>108500</v>
      </c>
      <c r="G63" s="5" t="s">
        <v>446</v>
      </c>
      <c r="H63" s="5" t="s">
        <v>61</v>
      </c>
      <c r="I63" s="5" t="s">
        <v>447</v>
      </c>
      <c r="J63" s="5" t="s">
        <v>449</v>
      </c>
      <c r="K63" s="3" t="s">
        <v>450</v>
      </c>
      <c r="L63" s="18" t="s">
        <v>76</v>
      </c>
    </row>
    <row r="64" spans="1:12" x14ac:dyDescent="0.3">
      <c r="A64" s="17">
        <v>68</v>
      </c>
      <c r="B64" s="5" t="s">
        <v>451</v>
      </c>
      <c r="C64" s="3" t="s">
        <v>452</v>
      </c>
      <c r="D64" s="5" t="s">
        <v>159</v>
      </c>
      <c r="E64" s="7">
        <v>2021</v>
      </c>
      <c r="F64" s="15">
        <v>59000</v>
      </c>
      <c r="G64" s="5" t="s">
        <v>453</v>
      </c>
      <c r="H64" s="5" t="s">
        <v>40</v>
      </c>
      <c r="I64" s="5" t="s">
        <v>454</v>
      </c>
      <c r="J64" s="5" t="s">
        <v>178</v>
      </c>
      <c r="K64" s="3" t="s">
        <v>456</v>
      </c>
      <c r="L64" s="18" t="s">
        <v>146</v>
      </c>
    </row>
    <row r="65" spans="1:12" x14ac:dyDescent="0.3">
      <c r="A65" s="17">
        <v>69</v>
      </c>
      <c r="B65" s="5" t="s">
        <v>457</v>
      </c>
      <c r="C65" s="3" t="s">
        <v>458</v>
      </c>
      <c r="D65" s="5" t="s">
        <v>264</v>
      </c>
      <c r="E65" s="7">
        <v>2025</v>
      </c>
      <c r="F65" s="15">
        <v>218000</v>
      </c>
      <c r="G65" s="5" t="s">
        <v>60</v>
      </c>
      <c r="H65" s="5" t="s">
        <v>31</v>
      </c>
      <c r="I65" s="5" t="s">
        <v>459</v>
      </c>
      <c r="J65" s="5" t="s">
        <v>304</v>
      </c>
      <c r="K65" s="3" t="s">
        <v>461</v>
      </c>
      <c r="L65" s="18" t="s">
        <v>56</v>
      </c>
    </row>
    <row r="66" spans="1:12" x14ac:dyDescent="0.3">
      <c r="A66" s="17">
        <v>70</v>
      </c>
      <c r="B66" s="4" t="s">
        <v>15</v>
      </c>
      <c r="C66" s="3" t="s">
        <v>462</v>
      </c>
      <c r="D66" s="5" t="s">
        <v>181</v>
      </c>
      <c r="E66" s="7">
        <v>2024</v>
      </c>
      <c r="F66" s="15">
        <v>99950</v>
      </c>
      <c r="G66" s="5" t="s">
        <v>463</v>
      </c>
      <c r="H66" s="5" t="s">
        <v>98</v>
      </c>
      <c r="I66" s="5" t="s">
        <v>464</v>
      </c>
      <c r="J66" s="5" t="s">
        <v>449</v>
      </c>
      <c r="K66" s="3" t="s">
        <v>465</v>
      </c>
      <c r="L66" s="18" t="s">
        <v>26</v>
      </c>
    </row>
    <row r="67" spans="1:12" x14ac:dyDescent="0.3">
      <c r="A67" s="17">
        <v>71</v>
      </c>
      <c r="B67" s="5" t="s">
        <v>394</v>
      </c>
      <c r="C67" s="3" t="s">
        <v>466</v>
      </c>
      <c r="D67" s="5" t="s">
        <v>243</v>
      </c>
      <c r="E67" s="7">
        <v>2024</v>
      </c>
      <c r="F67" s="15">
        <v>121750</v>
      </c>
      <c r="G67" s="5" t="s">
        <v>467</v>
      </c>
      <c r="H67" s="5" t="s">
        <v>19</v>
      </c>
      <c r="I67" s="5" t="s">
        <v>469</v>
      </c>
      <c r="J67" s="5" t="s">
        <v>112</v>
      </c>
      <c r="K67" s="3" t="s">
        <v>470</v>
      </c>
      <c r="L67" s="18" t="s">
        <v>26</v>
      </c>
    </row>
    <row r="68" spans="1:12" x14ac:dyDescent="0.3">
      <c r="A68" s="17">
        <v>72</v>
      </c>
      <c r="B68" s="5" t="s">
        <v>471</v>
      </c>
      <c r="C68" s="3" t="s">
        <v>472</v>
      </c>
      <c r="D68" s="5" t="s">
        <v>473</v>
      </c>
      <c r="E68" s="7">
        <v>2023</v>
      </c>
      <c r="F68" s="15">
        <v>91500</v>
      </c>
      <c r="G68" s="5" t="s">
        <v>474</v>
      </c>
      <c r="H68" s="5" t="s">
        <v>81</v>
      </c>
      <c r="I68" s="5" t="s">
        <v>475</v>
      </c>
      <c r="J68" s="5" t="s">
        <v>126</v>
      </c>
      <c r="K68" s="3" t="s">
        <v>476</v>
      </c>
      <c r="L68" s="18" t="s">
        <v>104</v>
      </c>
    </row>
    <row r="69" spans="1:12" x14ac:dyDescent="0.3">
      <c r="A69" s="17">
        <v>73</v>
      </c>
      <c r="B69" s="5" t="s">
        <v>477</v>
      </c>
      <c r="C69" s="3" t="s">
        <v>478</v>
      </c>
      <c r="D69" s="5" t="s">
        <v>130</v>
      </c>
      <c r="E69" s="7">
        <v>2022</v>
      </c>
      <c r="F69" s="15">
        <v>134000</v>
      </c>
      <c r="G69" s="5" t="s">
        <v>479</v>
      </c>
      <c r="H69" s="5" t="s">
        <v>31</v>
      </c>
      <c r="I69" s="5" t="s">
        <v>480</v>
      </c>
      <c r="J69" s="5" t="s">
        <v>84</v>
      </c>
      <c r="K69" s="3" t="s">
        <v>121</v>
      </c>
      <c r="L69" s="18" t="s">
        <v>47</v>
      </c>
    </row>
    <row r="70" spans="1:12" x14ac:dyDescent="0.3">
      <c r="A70" s="17">
        <v>74</v>
      </c>
      <c r="B70" s="5" t="s">
        <v>481</v>
      </c>
      <c r="C70" s="3" t="s">
        <v>482</v>
      </c>
      <c r="D70" s="5" t="s">
        <v>107</v>
      </c>
      <c r="E70" s="7">
        <v>2024</v>
      </c>
      <c r="F70" s="15">
        <v>96800</v>
      </c>
      <c r="G70" s="5" t="s">
        <v>60</v>
      </c>
      <c r="H70" s="5" t="s">
        <v>118</v>
      </c>
      <c r="I70" s="5" t="s">
        <v>483</v>
      </c>
      <c r="J70" s="5" t="s">
        <v>178</v>
      </c>
      <c r="K70" s="3" t="s">
        <v>484</v>
      </c>
      <c r="L70" s="18" t="s">
        <v>26</v>
      </c>
    </row>
    <row r="71" spans="1:12" x14ac:dyDescent="0.3">
      <c r="A71" s="17">
        <v>75</v>
      </c>
      <c r="B71" s="5" t="s">
        <v>485</v>
      </c>
      <c r="C71" s="3" t="s">
        <v>486</v>
      </c>
      <c r="D71" s="5" t="s">
        <v>59</v>
      </c>
      <c r="E71" s="7">
        <v>2025</v>
      </c>
      <c r="F71" s="15">
        <v>131600</v>
      </c>
      <c r="G71" s="5" t="s">
        <v>487</v>
      </c>
      <c r="H71" s="5" t="s">
        <v>31</v>
      </c>
      <c r="I71" s="5" t="s">
        <v>488</v>
      </c>
      <c r="J71" s="5" t="s">
        <v>44</v>
      </c>
      <c r="K71" s="3" t="s">
        <v>135</v>
      </c>
      <c r="L71" s="18" t="s">
        <v>93</v>
      </c>
    </row>
    <row r="72" spans="1:12" x14ac:dyDescent="0.3">
      <c r="A72" s="17">
        <v>76</v>
      </c>
      <c r="B72" s="5" t="s">
        <v>489</v>
      </c>
      <c r="C72" s="3" t="s">
        <v>490</v>
      </c>
      <c r="D72" s="5" t="s">
        <v>88</v>
      </c>
      <c r="E72" s="7">
        <v>2023</v>
      </c>
      <c r="F72" s="15">
        <v>94300</v>
      </c>
      <c r="G72" s="5" t="s">
        <v>491</v>
      </c>
      <c r="H72" s="5" t="s">
        <v>51</v>
      </c>
      <c r="I72" s="5" t="s">
        <v>492</v>
      </c>
      <c r="J72" s="5" t="s">
        <v>289</v>
      </c>
      <c r="K72" s="3" t="s">
        <v>144</v>
      </c>
      <c r="L72" s="18" t="s">
        <v>26</v>
      </c>
    </row>
    <row r="73" spans="1:12" x14ac:dyDescent="0.3">
      <c r="A73" s="17">
        <v>77</v>
      </c>
      <c r="B73" s="5" t="s">
        <v>493</v>
      </c>
      <c r="C73" s="3" t="s">
        <v>494</v>
      </c>
      <c r="D73" s="5" t="s">
        <v>29</v>
      </c>
      <c r="E73" s="7">
        <v>2025</v>
      </c>
      <c r="F73" s="15">
        <v>242000</v>
      </c>
      <c r="G73" s="5" t="s">
        <v>495</v>
      </c>
      <c r="H73" s="5" t="s">
        <v>141</v>
      </c>
      <c r="I73" s="5" t="s">
        <v>496</v>
      </c>
      <c r="J73" s="5" t="s">
        <v>44</v>
      </c>
      <c r="K73" s="3" t="s">
        <v>497</v>
      </c>
      <c r="L73" s="18" t="s">
        <v>219</v>
      </c>
    </row>
    <row r="74" spans="1:12" x14ac:dyDescent="0.3">
      <c r="A74" s="17">
        <v>78</v>
      </c>
      <c r="B74" s="5" t="s">
        <v>498</v>
      </c>
      <c r="C74" s="3" t="s">
        <v>499</v>
      </c>
      <c r="D74" s="5" t="s">
        <v>500</v>
      </c>
      <c r="E74" s="7">
        <v>2022</v>
      </c>
      <c r="F74" s="15">
        <v>82750</v>
      </c>
      <c r="G74" s="5" t="s">
        <v>501</v>
      </c>
      <c r="H74" s="5" t="s">
        <v>19</v>
      </c>
      <c r="I74" s="5" t="s">
        <v>502</v>
      </c>
      <c r="J74" s="5" t="s">
        <v>239</v>
      </c>
      <c r="K74" s="3" t="s">
        <v>163</v>
      </c>
      <c r="L74" s="18" t="s">
        <v>76</v>
      </c>
    </row>
    <row r="75" spans="1:12" x14ac:dyDescent="0.3">
      <c r="A75" s="17">
        <v>79</v>
      </c>
      <c r="B75" s="5" t="s">
        <v>504</v>
      </c>
      <c r="C75" s="3" t="s">
        <v>505</v>
      </c>
      <c r="D75" s="5" t="s">
        <v>207</v>
      </c>
      <c r="E75" s="7">
        <v>2026</v>
      </c>
      <c r="F75" s="15">
        <v>91300</v>
      </c>
      <c r="G75" s="5" t="s">
        <v>60</v>
      </c>
      <c r="H75" s="5" t="s">
        <v>31</v>
      </c>
      <c r="I75" s="5" t="s">
        <v>506</v>
      </c>
      <c r="J75" s="5" t="s">
        <v>65</v>
      </c>
      <c r="K75" s="3" t="s">
        <v>170</v>
      </c>
      <c r="L75" s="18" t="s">
        <v>26</v>
      </c>
    </row>
    <row r="76" spans="1:12" x14ac:dyDescent="0.3">
      <c r="A76" s="17">
        <v>80</v>
      </c>
      <c r="B76" s="5" t="s">
        <v>507</v>
      </c>
      <c r="C76" s="3" t="s">
        <v>508</v>
      </c>
      <c r="D76" s="5" t="s">
        <v>199</v>
      </c>
      <c r="E76" s="7">
        <v>2021</v>
      </c>
      <c r="F76" s="15">
        <v>79900</v>
      </c>
      <c r="G76" s="5" t="s">
        <v>509</v>
      </c>
      <c r="H76" s="5" t="s">
        <v>40</v>
      </c>
      <c r="I76" s="5" t="s">
        <v>510</v>
      </c>
      <c r="J76" s="5" t="s">
        <v>44</v>
      </c>
      <c r="K76" s="3" t="s">
        <v>179</v>
      </c>
      <c r="L76" s="18" t="s">
        <v>56</v>
      </c>
    </row>
    <row r="77" spans="1:12" x14ac:dyDescent="0.3">
      <c r="A77" s="17">
        <v>81</v>
      </c>
      <c r="B77" s="4" t="s">
        <v>15</v>
      </c>
      <c r="C77" s="3" t="s">
        <v>511</v>
      </c>
      <c r="D77" s="5" t="s">
        <v>38</v>
      </c>
      <c r="E77" s="7">
        <v>2024</v>
      </c>
      <c r="F77" s="15">
        <v>111000</v>
      </c>
      <c r="G77" s="5" t="s">
        <v>512</v>
      </c>
      <c r="H77" s="5" t="s">
        <v>61</v>
      </c>
      <c r="I77" s="5" t="s">
        <v>513</v>
      </c>
      <c r="J77" s="5" t="s">
        <v>44</v>
      </c>
      <c r="K77" s="3" t="s">
        <v>186</v>
      </c>
      <c r="L77" s="18" t="s">
        <v>47</v>
      </c>
    </row>
    <row r="78" spans="1:12" x14ac:dyDescent="0.3">
      <c r="A78" s="17">
        <v>82</v>
      </c>
      <c r="B78" s="5" t="s">
        <v>514</v>
      </c>
      <c r="C78" s="3" t="s">
        <v>515</v>
      </c>
      <c r="D78" s="5" t="s">
        <v>190</v>
      </c>
      <c r="E78" s="7">
        <v>2023</v>
      </c>
      <c r="F78" s="15">
        <v>156500</v>
      </c>
      <c r="G78" s="5" t="s">
        <v>516</v>
      </c>
      <c r="H78" s="5" t="s">
        <v>51</v>
      </c>
      <c r="I78" s="5" t="s">
        <v>517</v>
      </c>
      <c r="J78" s="5" t="s">
        <v>326</v>
      </c>
      <c r="K78" s="3" t="s">
        <v>196</v>
      </c>
      <c r="L78" s="18" t="s">
        <v>26</v>
      </c>
    </row>
    <row r="79" spans="1:12" x14ac:dyDescent="0.3">
      <c r="A79" s="17">
        <v>83</v>
      </c>
      <c r="B79" s="5" t="s">
        <v>518</v>
      </c>
      <c r="C79" s="3" t="s">
        <v>519</v>
      </c>
      <c r="D79" s="5" t="s">
        <v>286</v>
      </c>
      <c r="E79" s="7">
        <v>2025</v>
      </c>
      <c r="F79" s="15">
        <v>119900</v>
      </c>
      <c r="G79" s="5" t="s">
        <v>520</v>
      </c>
      <c r="H79" s="5" t="s">
        <v>81</v>
      </c>
      <c r="I79" s="5" t="s">
        <v>521</v>
      </c>
      <c r="J79" s="5" t="s">
        <v>112</v>
      </c>
      <c r="K79" s="3" t="s">
        <v>204</v>
      </c>
      <c r="L79" s="18" t="s">
        <v>56</v>
      </c>
    </row>
    <row r="80" spans="1:12" x14ac:dyDescent="0.3">
      <c r="A80" s="17">
        <v>84</v>
      </c>
      <c r="B80" s="4" t="s">
        <v>15</v>
      </c>
      <c r="C80" s="3" t="s">
        <v>522</v>
      </c>
      <c r="D80" s="5" t="s">
        <v>258</v>
      </c>
      <c r="E80" s="7">
        <v>2022</v>
      </c>
      <c r="F80" s="15">
        <v>73200</v>
      </c>
      <c r="G80" s="5" t="s">
        <v>523</v>
      </c>
      <c r="H80" s="5" t="s">
        <v>31</v>
      </c>
      <c r="I80" s="5" t="s">
        <v>524</v>
      </c>
      <c r="J80" s="5" t="s">
        <v>326</v>
      </c>
      <c r="K80" s="3" t="s">
        <v>210</v>
      </c>
      <c r="L80" s="18" t="s">
        <v>26</v>
      </c>
    </row>
    <row r="81" spans="1:12" x14ac:dyDescent="0.3">
      <c r="A81" s="17">
        <v>85</v>
      </c>
      <c r="B81" s="5" t="s">
        <v>525</v>
      </c>
      <c r="C81" s="3" t="s">
        <v>526</v>
      </c>
      <c r="D81" s="5" t="s">
        <v>123</v>
      </c>
      <c r="E81" s="7">
        <v>2024</v>
      </c>
      <c r="F81" s="15">
        <v>224000</v>
      </c>
      <c r="G81" s="5" t="s">
        <v>527</v>
      </c>
      <c r="H81" s="5" t="s">
        <v>31</v>
      </c>
      <c r="I81" s="5" t="s">
        <v>528</v>
      </c>
      <c r="J81" s="5" t="s">
        <v>530</v>
      </c>
      <c r="K81" s="3" t="s">
        <v>217</v>
      </c>
      <c r="L81" s="18" t="s">
        <v>146</v>
      </c>
    </row>
    <row r="82" spans="1:12" x14ac:dyDescent="0.3">
      <c r="A82" s="17">
        <v>86</v>
      </c>
      <c r="B82" s="5" t="s">
        <v>531</v>
      </c>
      <c r="C82" s="3" t="s">
        <v>532</v>
      </c>
      <c r="D82" s="5" t="s">
        <v>150</v>
      </c>
      <c r="E82" s="7">
        <v>2024</v>
      </c>
      <c r="F82" s="15">
        <v>126900</v>
      </c>
      <c r="G82" s="5" t="s">
        <v>533</v>
      </c>
      <c r="H82" s="5" t="s">
        <v>19</v>
      </c>
      <c r="I82" s="5" t="s">
        <v>161</v>
      </c>
      <c r="J82" s="5" t="s">
        <v>73</v>
      </c>
      <c r="K82" s="3" t="s">
        <v>534</v>
      </c>
      <c r="L82" s="18" t="s">
        <v>26</v>
      </c>
    </row>
    <row r="83" spans="1:12" x14ac:dyDescent="0.3">
      <c r="A83" s="17">
        <v>87</v>
      </c>
      <c r="B83" s="5" t="s">
        <v>535</v>
      </c>
      <c r="C83" s="3" t="s">
        <v>536</v>
      </c>
      <c r="D83" s="5" t="s">
        <v>228</v>
      </c>
      <c r="E83" s="7">
        <v>2023</v>
      </c>
      <c r="F83" s="15">
        <v>84500</v>
      </c>
      <c r="G83" s="5" t="s">
        <v>537</v>
      </c>
      <c r="H83" s="5" t="s">
        <v>61</v>
      </c>
      <c r="I83" s="5" t="s">
        <v>133</v>
      </c>
      <c r="J83" s="5" t="s">
        <v>65</v>
      </c>
      <c r="K83" s="3" t="s">
        <v>538</v>
      </c>
      <c r="L83" s="18" t="s">
        <v>56</v>
      </c>
    </row>
    <row r="84" spans="1:12" x14ac:dyDescent="0.3">
      <c r="A84" s="17">
        <v>88</v>
      </c>
      <c r="B84" s="5" t="s">
        <v>539</v>
      </c>
      <c r="C84" s="3" t="s">
        <v>540</v>
      </c>
      <c r="D84" s="5" t="s">
        <v>49</v>
      </c>
      <c r="E84" s="7">
        <v>2022</v>
      </c>
      <c r="F84" s="15">
        <v>69800</v>
      </c>
      <c r="G84" s="5" t="s">
        <v>541</v>
      </c>
      <c r="H84" s="5" t="s">
        <v>40</v>
      </c>
      <c r="I84" s="5" t="s">
        <v>271</v>
      </c>
      <c r="J84" s="5" t="s">
        <v>73</v>
      </c>
      <c r="K84" s="3" t="s">
        <v>45</v>
      </c>
      <c r="L84" s="18" t="s">
        <v>26</v>
      </c>
    </row>
    <row r="85" spans="1:12" x14ac:dyDescent="0.3">
      <c r="A85" s="17">
        <v>89</v>
      </c>
      <c r="B85" s="4" t="s">
        <v>15</v>
      </c>
      <c r="C85" s="3" t="s">
        <v>542</v>
      </c>
      <c r="D85" s="5" t="s">
        <v>59</v>
      </c>
      <c r="E85" s="7">
        <v>2025</v>
      </c>
      <c r="F85" s="15">
        <v>132700</v>
      </c>
      <c r="G85" s="5" t="s">
        <v>60</v>
      </c>
      <c r="H85" s="5" t="s">
        <v>31</v>
      </c>
      <c r="I85" s="5" t="s">
        <v>52</v>
      </c>
      <c r="J85" s="5" t="s">
        <v>54</v>
      </c>
      <c r="K85" s="3" t="s">
        <v>543</v>
      </c>
      <c r="L85" s="18" t="s">
        <v>47</v>
      </c>
    </row>
    <row r="86" spans="1:12" x14ac:dyDescent="0.3">
      <c r="A86" s="17">
        <v>90</v>
      </c>
      <c r="B86" s="5" t="s">
        <v>544</v>
      </c>
      <c r="C86" s="3" t="s">
        <v>545</v>
      </c>
      <c r="D86" s="5" t="s">
        <v>199</v>
      </c>
      <c r="E86" s="7">
        <v>2021</v>
      </c>
      <c r="F86" s="15">
        <v>81000</v>
      </c>
      <c r="G86" s="5" t="s">
        <v>546</v>
      </c>
      <c r="H86" s="5" t="s">
        <v>51</v>
      </c>
      <c r="I86" s="5" t="s">
        <v>42</v>
      </c>
      <c r="J86" s="5" t="s">
        <v>44</v>
      </c>
      <c r="K86" s="3" t="s">
        <v>66</v>
      </c>
      <c r="L86" s="18" t="s">
        <v>26</v>
      </c>
    </row>
    <row r="87" spans="1:12" x14ac:dyDescent="0.3">
      <c r="A87" s="17">
        <v>91</v>
      </c>
      <c r="B87" s="5" t="s">
        <v>547</v>
      </c>
      <c r="C87" s="3" t="s">
        <v>548</v>
      </c>
      <c r="D87" s="5" t="s">
        <v>17</v>
      </c>
      <c r="E87" s="7">
        <v>2023</v>
      </c>
      <c r="F87" s="15">
        <v>78900</v>
      </c>
      <c r="G87" s="5" t="s">
        <v>549</v>
      </c>
      <c r="H87" s="5" t="s">
        <v>98</v>
      </c>
      <c r="I87" s="5" t="s">
        <v>32</v>
      </c>
      <c r="J87" s="5" t="s">
        <v>34</v>
      </c>
      <c r="K87" s="3" t="s">
        <v>305</v>
      </c>
      <c r="L87" s="18" t="s">
        <v>76</v>
      </c>
    </row>
    <row r="88" spans="1:12" x14ac:dyDescent="0.3">
      <c r="A88" s="17">
        <v>92</v>
      </c>
      <c r="B88" s="5" t="s">
        <v>551</v>
      </c>
      <c r="C88" s="3" t="s">
        <v>552</v>
      </c>
      <c r="D88" s="5" t="s">
        <v>29</v>
      </c>
      <c r="E88" s="7">
        <v>2026</v>
      </c>
      <c r="F88" s="15">
        <v>249300</v>
      </c>
      <c r="G88" s="5" t="s">
        <v>166</v>
      </c>
      <c r="H88" s="5" t="s">
        <v>31</v>
      </c>
      <c r="I88" s="5" t="s">
        <v>21</v>
      </c>
      <c r="J88" s="5" t="s">
        <v>23</v>
      </c>
      <c r="K88" s="3" t="s">
        <v>554</v>
      </c>
      <c r="L88" s="18" t="s">
        <v>146</v>
      </c>
    </row>
    <row r="89" spans="1:12" x14ac:dyDescent="0.3">
      <c r="A89" s="17">
        <v>93</v>
      </c>
      <c r="B89" s="4" t="s">
        <v>15</v>
      </c>
      <c r="C89" s="3" t="s">
        <v>555</v>
      </c>
      <c r="D89" s="5" t="s">
        <v>38</v>
      </c>
      <c r="E89" s="7">
        <v>2024</v>
      </c>
      <c r="F89" s="15">
        <v>108750</v>
      </c>
      <c r="G89" s="5" t="s">
        <v>556</v>
      </c>
      <c r="H89" s="5" t="s">
        <v>31</v>
      </c>
      <c r="I89" s="5" t="s">
        <v>110</v>
      </c>
      <c r="J89" s="5" t="s">
        <v>112</v>
      </c>
      <c r="K89" s="3" t="s">
        <v>317</v>
      </c>
      <c r="L89" s="18" t="s">
        <v>93</v>
      </c>
    </row>
    <row r="90" spans="1:12" x14ac:dyDescent="0.3">
      <c r="A90" s="17">
        <v>94</v>
      </c>
      <c r="B90" s="4" t="s">
        <v>15</v>
      </c>
      <c r="C90" s="3" t="s">
        <v>557</v>
      </c>
      <c r="D90" s="5" t="s">
        <v>207</v>
      </c>
      <c r="E90" s="7">
        <v>2026</v>
      </c>
      <c r="F90" s="15">
        <v>92600</v>
      </c>
      <c r="G90" s="5" t="s">
        <v>60</v>
      </c>
      <c r="H90" s="5" t="s">
        <v>40</v>
      </c>
      <c r="I90" s="5" t="s">
        <v>100</v>
      </c>
      <c r="J90" s="5" t="s">
        <v>101</v>
      </c>
      <c r="K90" s="3" t="s">
        <v>322</v>
      </c>
      <c r="L90" s="18" t="s">
        <v>104</v>
      </c>
    </row>
    <row r="91" spans="1:12" x14ac:dyDescent="0.3">
      <c r="A91" s="17">
        <v>95</v>
      </c>
      <c r="B91" s="5" t="s">
        <v>559</v>
      </c>
      <c r="C91" s="3" t="s">
        <v>560</v>
      </c>
      <c r="D91" s="5" t="s">
        <v>116</v>
      </c>
      <c r="E91" s="7">
        <v>2025</v>
      </c>
      <c r="F91" s="15">
        <v>164000</v>
      </c>
      <c r="G91" s="5" t="s">
        <v>60</v>
      </c>
      <c r="H91" s="5" t="s">
        <v>118</v>
      </c>
      <c r="I91" s="5" t="s">
        <v>120</v>
      </c>
      <c r="J91" s="5" t="s">
        <v>44</v>
      </c>
      <c r="K91" s="3" t="s">
        <v>327</v>
      </c>
      <c r="L91" s="18" t="s">
        <v>47</v>
      </c>
    </row>
    <row r="92" spans="1:12" x14ac:dyDescent="0.3">
      <c r="A92" s="17">
        <v>96</v>
      </c>
      <c r="B92" s="5" t="s">
        <v>561</v>
      </c>
      <c r="C92" s="3" t="s">
        <v>562</v>
      </c>
      <c r="D92" s="5" t="s">
        <v>293</v>
      </c>
      <c r="E92" s="7">
        <v>2024</v>
      </c>
      <c r="F92" s="15">
        <v>119000</v>
      </c>
      <c r="G92" s="5" t="s">
        <v>563</v>
      </c>
      <c r="H92" s="5" t="s">
        <v>19</v>
      </c>
      <c r="I92" s="5" t="s">
        <v>565</v>
      </c>
      <c r="J92" s="5" t="s">
        <v>65</v>
      </c>
      <c r="K92" s="3" t="s">
        <v>334</v>
      </c>
      <c r="L92" s="18" t="s">
        <v>26</v>
      </c>
    </row>
    <row r="93" spans="1:12" x14ac:dyDescent="0.3">
      <c r="A93" s="17">
        <v>97</v>
      </c>
      <c r="B93" s="4" t="s">
        <v>15</v>
      </c>
      <c r="C93" s="3" t="s">
        <v>566</v>
      </c>
      <c r="D93" s="5" t="s">
        <v>123</v>
      </c>
      <c r="E93" s="7">
        <v>2026</v>
      </c>
      <c r="F93" s="15">
        <v>232500</v>
      </c>
      <c r="G93" s="5" t="s">
        <v>567</v>
      </c>
      <c r="H93" s="5" t="s">
        <v>31</v>
      </c>
      <c r="I93" s="5" t="s">
        <v>125</v>
      </c>
      <c r="J93" s="5" t="s">
        <v>126</v>
      </c>
      <c r="K93" s="3" t="s">
        <v>339</v>
      </c>
      <c r="L93" s="18" t="s">
        <v>56</v>
      </c>
    </row>
    <row r="94" spans="1:12" x14ac:dyDescent="0.3">
      <c r="A94" s="17">
        <v>98</v>
      </c>
      <c r="B94" s="5" t="s">
        <v>568</v>
      </c>
      <c r="C94" s="3" t="s">
        <v>569</v>
      </c>
      <c r="D94" s="5" t="s">
        <v>88</v>
      </c>
      <c r="E94" s="7">
        <v>2023</v>
      </c>
      <c r="F94" s="15">
        <v>96800</v>
      </c>
      <c r="G94" s="5" t="s">
        <v>570</v>
      </c>
      <c r="H94" s="5" t="s">
        <v>81</v>
      </c>
      <c r="I94" s="5" t="s">
        <v>176</v>
      </c>
      <c r="J94" s="5" t="s">
        <v>178</v>
      </c>
      <c r="K94" s="3" t="s">
        <v>344</v>
      </c>
      <c r="L94" s="18" t="s">
        <v>26</v>
      </c>
    </row>
    <row r="95" spans="1:12" x14ac:dyDescent="0.3">
      <c r="A95" s="17">
        <v>99</v>
      </c>
      <c r="B95" s="5" t="s">
        <v>571</v>
      </c>
      <c r="C95" s="3" t="s">
        <v>572</v>
      </c>
      <c r="D95" s="5" t="s">
        <v>258</v>
      </c>
      <c r="E95" s="7">
        <v>2022</v>
      </c>
      <c r="F95" s="15">
        <v>74400</v>
      </c>
      <c r="G95" s="5" t="s">
        <v>573</v>
      </c>
      <c r="H95" s="5" t="s">
        <v>51</v>
      </c>
      <c r="I95" s="5" t="s">
        <v>348</v>
      </c>
      <c r="J95" s="5" t="s">
        <v>112</v>
      </c>
      <c r="K95" s="3" t="s">
        <v>349</v>
      </c>
      <c r="L95" s="18" t="s">
        <v>219</v>
      </c>
    </row>
    <row r="96" spans="1:12" x14ac:dyDescent="0.3">
      <c r="A96" s="17">
        <v>100</v>
      </c>
      <c r="B96" s="5" t="s">
        <v>574</v>
      </c>
      <c r="C96" s="3" t="s">
        <v>351</v>
      </c>
      <c r="D96" s="5" t="s">
        <v>222</v>
      </c>
      <c r="E96" s="7">
        <v>2025</v>
      </c>
      <c r="F96" s="15">
        <v>148500</v>
      </c>
      <c r="G96" s="5" t="s">
        <v>575</v>
      </c>
      <c r="H96" s="5" t="s">
        <v>141</v>
      </c>
      <c r="I96" s="5" t="s">
        <v>153</v>
      </c>
      <c r="J96" s="5" t="s">
        <v>155</v>
      </c>
      <c r="K96" s="3" t="s">
        <v>353</v>
      </c>
      <c r="L96" s="18" t="s">
        <v>26</v>
      </c>
    </row>
    <row r="97" spans="1:12" x14ac:dyDescent="0.3">
      <c r="A97" s="17">
        <v>101</v>
      </c>
      <c r="B97" s="5" t="s">
        <v>576</v>
      </c>
      <c r="C97" s="3" t="s">
        <v>355</v>
      </c>
      <c r="D97" s="5" t="s">
        <v>96</v>
      </c>
      <c r="E97" s="7">
        <v>2021</v>
      </c>
      <c r="F97" s="15">
        <v>71900</v>
      </c>
      <c r="G97" s="5" t="s">
        <v>577</v>
      </c>
      <c r="H97" s="5" t="s">
        <v>61</v>
      </c>
      <c r="I97" s="5" t="s">
        <v>358</v>
      </c>
      <c r="J97" s="5" t="s">
        <v>65</v>
      </c>
      <c r="K97" s="3" t="s">
        <v>359</v>
      </c>
      <c r="L97" s="18" t="s">
        <v>56</v>
      </c>
    </row>
    <row r="98" spans="1:12" x14ac:dyDescent="0.3">
      <c r="A98" s="17">
        <v>102</v>
      </c>
      <c r="B98" s="4" t="s">
        <v>15</v>
      </c>
      <c r="C98" s="3" t="s">
        <v>360</v>
      </c>
      <c r="D98" s="5" t="s">
        <v>361</v>
      </c>
      <c r="E98" s="7">
        <v>2024</v>
      </c>
      <c r="F98" s="15">
        <v>143250</v>
      </c>
      <c r="G98" s="5" t="s">
        <v>578</v>
      </c>
      <c r="H98" s="5" t="s">
        <v>40</v>
      </c>
      <c r="I98" s="5" t="s">
        <v>362</v>
      </c>
      <c r="J98" s="5" t="s">
        <v>65</v>
      </c>
      <c r="K98" s="3" t="s">
        <v>363</v>
      </c>
      <c r="L98" s="18" t="s">
        <v>47</v>
      </c>
    </row>
    <row r="99" spans="1:12" x14ac:dyDescent="0.3">
      <c r="A99" s="17">
        <v>103</v>
      </c>
      <c r="B99" s="5" t="s">
        <v>579</v>
      </c>
      <c r="C99" s="3" t="s">
        <v>365</v>
      </c>
      <c r="D99" s="5" t="s">
        <v>330</v>
      </c>
      <c r="E99" s="7">
        <v>2020</v>
      </c>
      <c r="F99" s="15">
        <v>137500</v>
      </c>
      <c r="G99" s="5" t="s">
        <v>580</v>
      </c>
      <c r="H99" s="5" t="s">
        <v>31</v>
      </c>
      <c r="I99" s="5" t="s">
        <v>367</v>
      </c>
      <c r="J99" s="5" t="s">
        <v>368</v>
      </c>
      <c r="K99" s="3" t="s">
        <v>369</v>
      </c>
      <c r="L99" s="18" t="s">
        <v>26</v>
      </c>
    </row>
    <row r="100" spans="1:12" x14ac:dyDescent="0.3">
      <c r="A100" s="17">
        <v>104</v>
      </c>
      <c r="B100" s="5" t="s">
        <v>581</v>
      </c>
      <c r="C100" s="3" t="s">
        <v>371</v>
      </c>
      <c r="D100" s="5" t="s">
        <v>139</v>
      </c>
      <c r="E100" s="7">
        <v>2025</v>
      </c>
      <c r="F100" s="15">
        <v>204800</v>
      </c>
      <c r="G100" s="5" t="s">
        <v>582</v>
      </c>
      <c r="H100" s="5" t="s">
        <v>19</v>
      </c>
      <c r="I100" s="5" t="s">
        <v>374</v>
      </c>
      <c r="J100" s="5" t="s">
        <v>376</v>
      </c>
      <c r="K100" s="3" t="s">
        <v>377</v>
      </c>
      <c r="L100" s="18" t="s">
        <v>56</v>
      </c>
    </row>
    <row r="101" spans="1:12" x14ac:dyDescent="0.3">
      <c r="A101" s="24">
        <v>105</v>
      </c>
      <c r="B101" s="25" t="s">
        <v>583</v>
      </c>
      <c r="C101" s="26" t="s">
        <v>379</v>
      </c>
      <c r="D101" s="25" t="s">
        <v>212</v>
      </c>
      <c r="E101" s="27">
        <v>2024</v>
      </c>
      <c r="F101" s="28">
        <v>271700</v>
      </c>
      <c r="G101" s="25" t="s">
        <v>213</v>
      </c>
      <c r="H101" s="25" t="s">
        <v>81</v>
      </c>
      <c r="I101" s="25" t="s">
        <v>381</v>
      </c>
      <c r="J101" s="25" t="s">
        <v>383</v>
      </c>
      <c r="K101" s="26" t="s">
        <v>384</v>
      </c>
      <c r="L101" s="29" t="s">
        <v>26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E6842-2A5F-4175-B272-58C7A52762A5}">
  <dimension ref="A1:H80"/>
  <sheetViews>
    <sheetView workbookViewId="0">
      <selection activeCell="F18" sqref="F18"/>
    </sheetView>
  </sheetViews>
  <sheetFormatPr defaultRowHeight="14.4" x14ac:dyDescent="0.3"/>
  <cols>
    <col min="1" max="1" width="13.109375" bestFit="1" customWidth="1"/>
    <col min="2" max="2" width="15.88671875" customWidth="1"/>
    <col min="3" max="3" width="15.88671875" style="11" customWidth="1"/>
    <col min="4" max="4" width="15" bestFit="1" customWidth="1"/>
    <col min="5" max="5" width="21.44140625" customWidth="1"/>
    <col min="6" max="6" width="21.44140625" style="11" customWidth="1"/>
    <col min="7" max="7" width="13.33203125" customWidth="1"/>
    <col min="8" max="8" width="15" customWidth="1"/>
  </cols>
  <sheetData>
    <row r="1" spans="1:8" ht="19.2" customHeight="1" x14ac:dyDescent="0.3">
      <c r="A1" s="1" t="s">
        <v>10</v>
      </c>
      <c r="B1" s="2" t="s">
        <v>11</v>
      </c>
      <c r="C1" s="8"/>
      <c r="D1" s="1" t="s">
        <v>13</v>
      </c>
      <c r="E1" s="2" t="s">
        <v>14</v>
      </c>
      <c r="F1" s="8"/>
      <c r="G1" s="1" t="s">
        <v>8</v>
      </c>
      <c r="H1" s="2" t="s">
        <v>9</v>
      </c>
    </row>
    <row r="2" spans="1:8" x14ac:dyDescent="0.3">
      <c r="A2" s="3" t="s">
        <v>22</v>
      </c>
      <c r="B2" s="5" t="s">
        <v>23</v>
      </c>
      <c r="C2" s="9"/>
      <c r="D2" s="3" t="s">
        <v>25</v>
      </c>
      <c r="E2" s="5" t="s">
        <v>26</v>
      </c>
      <c r="F2" s="9"/>
      <c r="G2" s="3" t="s">
        <v>20</v>
      </c>
      <c r="H2" s="5" t="s">
        <v>21</v>
      </c>
    </row>
    <row r="3" spans="1:8" x14ac:dyDescent="0.3">
      <c r="A3" s="3" t="s">
        <v>33</v>
      </c>
      <c r="B3" s="5" t="s">
        <v>34</v>
      </c>
      <c r="C3" s="9"/>
      <c r="D3" s="3" t="s">
        <v>46</v>
      </c>
      <c r="E3" s="5" t="s">
        <v>47</v>
      </c>
      <c r="F3" s="9"/>
      <c r="G3" s="3" t="s">
        <v>32</v>
      </c>
      <c r="H3" s="5" t="s">
        <v>32</v>
      </c>
    </row>
    <row r="4" spans="1:8" x14ac:dyDescent="0.3">
      <c r="A4" s="3" t="s">
        <v>43</v>
      </c>
      <c r="B4" s="5" t="s">
        <v>44</v>
      </c>
      <c r="C4" s="9"/>
      <c r="D4" s="3" t="s">
        <v>56</v>
      </c>
      <c r="E4" s="5" t="s">
        <v>56</v>
      </c>
      <c r="F4" s="9"/>
      <c r="G4" s="3" t="s">
        <v>41</v>
      </c>
      <c r="H4" s="5" t="s">
        <v>42</v>
      </c>
    </row>
    <row r="5" spans="1:8" x14ac:dyDescent="0.3">
      <c r="A5" s="3" t="s">
        <v>53</v>
      </c>
      <c r="B5" s="5" t="s">
        <v>54</v>
      </c>
      <c r="C5" s="9"/>
      <c r="D5" s="3" t="s">
        <v>67</v>
      </c>
      <c r="E5" s="5" t="s">
        <v>26</v>
      </c>
      <c r="F5" s="9"/>
      <c r="G5" s="3" t="s">
        <v>52</v>
      </c>
      <c r="H5" s="5" t="s">
        <v>52</v>
      </c>
    </row>
    <row r="6" spans="1:8" x14ac:dyDescent="0.3">
      <c r="A6" s="3" t="s">
        <v>64</v>
      </c>
      <c r="B6" s="5" t="s">
        <v>65</v>
      </c>
      <c r="C6" s="9"/>
      <c r="D6" s="3" t="s">
        <v>75</v>
      </c>
      <c r="E6" s="5" t="s">
        <v>76</v>
      </c>
      <c r="F6" s="9"/>
      <c r="G6" s="3" t="s">
        <v>62</v>
      </c>
      <c r="H6" s="5" t="s">
        <v>63</v>
      </c>
    </row>
    <row r="7" spans="1:8" x14ac:dyDescent="0.3">
      <c r="A7" s="3" t="s">
        <v>73</v>
      </c>
      <c r="B7" s="5" t="s">
        <v>73</v>
      </c>
      <c r="C7" s="9"/>
      <c r="D7" s="3" t="s">
        <v>86</v>
      </c>
      <c r="E7" s="5" t="s">
        <v>26</v>
      </c>
      <c r="F7" s="9"/>
      <c r="G7" s="3" t="s">
        <v>72</v>
      </c>
      <c r="H7" s="5" t="s">
        <v>72</v>
      </c>
    </row>
    <row r="8" spans="1:8" x14ac:dyDescent="0.3">
      <c r="A8" s="3" t="s">
        <v>83</v>
      </c>
      <c r="B8" s="5" t="s">
        <v>84</v>
      </c>
      <c r="C8" s="9"/>
      <c r="D8" s="3" t="s">
        <v>92</v>
      </c>
      <c r="E8" s="5" t="s">
        <v>93</v>
      </c>
      <c r="F8" s="9"/>
      <c r="G8" s="3" t="s">
        <v>82</v>
      </c>
      <c r="H8" s="5" t="s">
        <v>83</v>
      </c>
    </row>
    <row r="9" spans="1:8" x14ac:dyDescent="0.3">
      <c r="A9" s="3" t="s">
        <v>101</v>
      </c>
      <c r="B9" s="5" t="s">
        <v>101</v>
      </c>
      <c r="C9" s="9"/>
      <c r="D9" s="3" t="s">
        <v>103</v>
      </c>
      <c r="E9" s="5" t="s">
        <v>104</v>
      </c>
      <c r="F9" s="9"/>
      <c r="G9" s="3" t="s">
        <v>90</v>
      </c>
      <c r="H9" s="5" t="s">
        <v>90</v>
      </c>
    </row>
    <row r="10" spans="1:8" x14ac:dyDescent="0.3">
      <c r="A10" s="3" t="s">
        <v>111</v>
      </c>
      <c r="B10" s="5" t="s">
        <v>112</v>
      </c>
      <c r="C10" s="9"/>
      <c r="D10" s="3" t="s">
        <v>136</v>
      </c>
      <c r="E10" s="5" t="s">
        <v>26</v>
      </c>
      <c r="F10" s="9"/>
      <c r="G10" s="3" t="s">
        <v>99</v>
      </c>
      <c r="H10" s="5" t="s">
        <v>100</v>
      </c>
    </row>
    <row r="11" spans="1:8" x14ac:dyDescent="0.3">
      <c r="A11" s="3" t="s">
        <v>126</v>
      </c>
      <c r="B11" s="5" t="s">
        <v>126</v>
      </c>
      <c r="C11" s="9"/>
      <c r="D11" s="3" t="s">
        <v>145</v>
      </c>
      <c r="E11" s="5" t="s">
        <v>146</v>
      </c>
      <c r="F11" s="9"/>
      <c r="G11" s="3" t="s">
        <v>109</v>
      </c>
      <c r="H11" s="5" t="s">
        <v>110</v>
      </c>
    </row>
    <row r="12" spans="1:8" x14ac:dyDescent="0.3">
      <c r="A12" s="3" t="s">
        <v>134</v>
      </c>
      <c r="B12" s="5" t="s">
        <v>65</v>
      </c>
      <c r="C12" s="9"/>
      <c r="D12" s="3" t="s">
        <v>171</v>
      </c>
      <c r="E12" s="5" t="s">
        <v>47</v>
      </c>
      <c r="F12" s="9"/>
      <c r="G12" s="3" t="s">
        <v>119</v>
      </c>
      <c r="H12" s="5" t="s">
        <v>120</v>
      </c>
    </row>
    <row r="13" spans="1:8" x14ac:dyDescent="0.3">
      <c r="A13" s="3" t="s">
        <v>143</v>
      </c>
      <c r="B13" s="5" t="s">
        <v>44</v>
      </c>
      <c r="C13" s="9"/>
      <c r="D13" s="3" t="s">
        <v>187</v>
      </c>
      <c r="E13" s="5" t="s">
        <v>56</v>
      </c>
      <c r="F13" s="9"/>
      <c r="G13" s="3" t="s">
        <v>125</v>
      </c>
      <c r="H13" s="5" t="s">
        <v>125</v>
      </c>
    </row>
    <row r="14" spans="1:8" x14ac:dyDescent="0.3">
      <c r="A14" s="3" t="s">
        <v>154</v>
      </c>
      <c r="B14" s="5" t="s">
        <v>155</v>
      </c>
      <c r="C14" s="9"/>
      <c r="D14" s="3" t="s">
        <v>218</v>
      </c>
      <c r="E14" s="5" t="s">
        <v>219</v>
      </c>
      <c r="F14" s="9"/>
      <c r="G14" s="3" t="s">
        <v>132</v>
      </c>
      <c r="H14" s="5" t="s">
        <v>133</v>
      </c>
    </row>
    <row r="15" spans="1:8" x14ac:dyDescent="0.3">
      <c r="A15" s="3" t="s">
        <v>162</v>
      </c>
      <c r="B15" s="5" t="s">
        <v>73</v>
      </c>
      <c r="C15" s="9"/>
      <c r="D15" s="3" t="s">
        <v>266</v>
      </c>
      <c r="E15" s="5" t="s">
        <v>267</v>
      </c>
      <c r="F15" s="9"/>
      <c r="G15" s="3" t="s">
        <v>142</v>
      </c>
      <c r="H15" s="5" t="s">
        <v>142</v>
      </c>
    </row>
    <row r="16" spans="1:8" x14ac:dyDescent="0.3">
      <c r="A16" s="3" t="s">
        <v>169</v>
      </c>
      <c r="B16" s="5" t="s">
        <v>169</v>
      </c>
      <c r="C16" s="9"/>
      <c r="D16" s="3" t="s">
        <v>400</v>
      </c>
      <c r="E16" s="5" t="s">
        <v>401</v>
      </c>
      <c r="F16" s="9"/>
      <c r="G16" s="3" t="s">
        <v>152</v>
      </c>
      <c r="H16" s="5" t="s">
        <v>153</v>
      </c>
    </row>
    <row r="17" spans="1:8" x14ac:dyDescent="0.3">
      <c r="A17" s="3" t="s">
        <v>177</v>
      </c>
      <c r="B17" s="5" t="s">
        <v>178</v>
      </c>
      <c r="C17" s="10"/>
      <c r="G17" s="3" t="s">
        <v>161</v>
      </c>
      <c r="H17" s="5" t="s">
        <v>161</v>
      </c>
    </row>
    <row r="18" spans="1:8" x14ac:dyDescent="0.3">
      <c r="A18" s="3" t="s">
        <v>185</v>
      </c>
      <c r="B18" s="5" t="s">
        <v>185</v>
      </c>
      <c r="C18" s="10"/>
      <c r="G18" s="3" t="s">
        <v>167</v>
      </c>
      <c r="H18" s="5" t="s">
        <v>168</v>
      </c>
    </row>
    <row r="19" spans="1:8" x14ac:dyDescent="0.3">
      <c r="A19" s="3" t="s">
        <v>194</v>
      </c>
      <c r="B19" s="5" t="s">
        <v>195</v>
      </c>
      <c r="C19" s="10"/>
      <c r="G19" s="3" t="s">
        <v>176</v>
      </c>
      <c r="H19" s="5" t="s">
        <v>176</v>
      </c>
    </row>
    <row r="20" spans="1:8" x14ac:dyDescent="0.3">
      <c r="A20" s="3" t="s">
        <v>202</v>
      </c>
      <c r="B20" s="5" t="s">
        <v>203</v>
      </c>
      <c r="C20" s="10"/>
      <c r="G20" s="3" t="s">
        <v>183</v>
      </c>
      <c r="H20" s="5" t="s">
        <v>184</v>
      </c>
    </row>
    <row r="21" spans="1:8" x14ac:dyDescent="0.3">
      <c r="A21" s="3" t="s">
        <v>215</v>
      </c>
      <c r="B21" s="5" t="s">
        <v>216</v>
      </c>
      <c r="C21" s="10"/>
      <c r="G21" s="3" t="s">
        <v>192</v>
      </c>
      <c r="H21" s="5" t="s">
        <v>193</v>
      </c>
    </row>
    <row r="22" spans="1:8" x14ac:dyDescent="0.3">
      <c r="A22" s="3" t="s">
        <v>231</v>
      </c>
      <c r="B22" s="5" t="s">
        <v>232</v>
      </c>
      <c r="C22" s="10"/>
      <c r="G22" s="3" t="s">
        <v>201</v>
      </c>
      <c r="H22" s="5" t="s">
        <v>201</v>
      </c>
    </row>
    <row r="23" spans="1:8" x14ac:dyDescent="0.3">
      <c r="A23" s="3" t="s">
        <v>238</v>
      </c>
      <c r="B23" s="5" t="s">
        <v>239</v>
      </c>
      <c r="C23" s="10"/>
      <c r="G23" s="3" t="s">
        <v>208</v>
      </c>
      <c r="H23" s="5" t="s">
        <v>209</v>
      </c>
    </row>
    <row r="24" spans="1:8" x14ac:dyDescent="0.3">
      <c r="A24" s="3" t="s">
        <v>247</v>
      </c>
      <c r="B24" s="5" t="s">
        <v>248</v>
      </c>
      <c r="C24" s="10"/>
      <c r="G24" s="3" t="s">
        <v>214</v>
      </c>
      <c r="H24" s="5" t="s">
        <v>214</v>
      </c>
    </row>
    <row r="25" spans="1:8" x14ac:dyDescent="0.3">
      <c r="A25" s="3" t="s">
        <v>288</v>
      </c>
      <c r="B25" s="5" t="s">
        <v>289</v>
      </c>
      <c r="C25" s="10"/>
      <c r="G25" s="3" t="s">
        <v>224</v>
      </c>
      <c r="H25" s="5" t="s">
        <v>224</v>
      </c>
    </row>
    <row r="26" spans="1:8" x14ac:dyDescent="0.3">
      <c r="A26" s="3" t="s">
        <v>296</v>
      </c>
      <c r="B26" s="5" t="s">
        <v>296</v>
      </c>
      <c r="C26" s="10"/>
      <c r="G26" s="3" t="s">
        <v>230</v>
      </c>
      <c r="H26" s="5" t="s">
        <v>230</v>
      </c>
    </row>
    <row r="27" spans="1:8" x14ac:dyDescent="0.3">
      <c r="A27" s="3" t="s">
        <v>303</v>
      </c>
      <c r="B27" s="5" t="s">
        <v>304</v>
      </c>
      <c r="C27" s="10"/>
      <c r="G27" s="3" t="s">
        <v>237</v>
      </c>
      <c r="H27" s="5" t="s">
        <v>237</v>
      </c>
    </row>
    <row r="28" spans="1:8" x14ac:dyDescent="0.3">
      <c r="A28" s="3" t="s">
        <v>311</v>
      </c>
      <c r="B28" s="5" t="s">
        <v>312</v>
      </c>
      <c r="C28" s="10"/>
      <c r="G28" s="3" t="s">
        <v>245</v>
      </c>
      <c r="H28" s="5" t="s">
        <v>246</v>
      </c>
    </row>
    <row r="29" spans="1:8" x14ac:dyDescent="0.3">
      <c r="A29" s="3" t="s">
        <v>112</v>
      </c>
      <c r="B29" s="5" t="s">
        <v>112</v>
      </c>
      <c r="C29" s="10"/>
      <c r="G29" s="3" t="s">
        <v>254</v>
      </c>
      <c r="H29" s="5" t="s">
        <v>254</v>
      </c>
    </row>
    <row r="30" spans="1:8" x14ac:dyDescent="0.3">
      <c r="A30" s="3" t="s">
        <v>326</v>
      </c>
      <c r="B30" s="5" t="s">
        <v>326</v>
      </c>
      <c r="C30" s="10"/>
      <c r="G30" s="3" t="s">
        <v>260</v>
      </c>
      <c r="H30" s="5" t="s">
        <v>260</v>
      </c>
    </row>
    <row r="31" spans="1:8" x14ac:dyDescent="0.3">
      <c r="A31" s="3" t="s">
        <v>368</v>
      </c>
      <c r="B31" s="5" t="s">
        <v>368</v>
      </c>
      <c r="C31" s="10"/>
      <c r="G31" s="3" t="s">
        <v>270</v>
      </c>
      <c r="H31" s="5" t="s">
        <v>271</v>
      </c>
    </row>
    <row r="32" spans="1:8" x14ac:dyDescent="0.3">
      <c r="A32" s="3" t="s">
        <v>375</v>
      </c>
      <c r="B32" s="5" t="s">
        <v>376</v>
      </c>
      <c r="C32" s="10"/>
      <c r="G32" s="3" t="s">
        <v>276</v>
      </c>
      <c r="H32" s="5" t="s">
        <v>276</v>
      </c>
    </row>
    <row r="33" spans="1:8" x14ac:dyDescent="0.3">
      <c r="A33" s="3" t="s">
        <v>382</v>
      </c>
      <c r="B33" s="5" t="s">
        <v>383</v>
      </c>
      <c r="C33" s="10"/>
      <c r="G33" s="3" t="s">
        <v>281</v>
      </c>
      <c r="H33" s="5" t="s">
        <v>282</v>
      </c>
    </row>
    <row r="34" spans="1:8" x14ac:dyDescent="0.3">
      <c r="A34" s="3" t="s">
        <v>389</v>
      </c>
      <c r="B34" s="5" t="s">
        <v>389</v>
      </c>
      <c r="C34" s="10"/>
      <c r="G34" s="3" t="s">
        <v>287</v>
      </c>
      <c r="H34" s="5" t="s">
        <v>287</v>
      </c>
    </row>
    <row r="35" spans="1:8" x14ac:dyDescent="0.3">
      <c r="A35" s="3" t="s">
        <v>398</v>
      </c>
      <c r="B35" s="5" t="s">
        <v>126</v>
      </c>
      <c r="C35" s="10"/>
      <c r="G35" s="3" t="s">
        <v>295</v>
      </c>
      <c r="H35" s="5" t="s">
        <v>295</v>
      </c>
    </row>
    <row r="36" spans="1:8" x14ac:dyDescent="0.3">
      <c r="A36" s="3" t="s">
        <v>405</v>
      </c>
      <c r="B36" s="5" t="s">
        <v>405</v>
      </c>
      <c r="C36" s="10"/>
      <c r="G36" s="3" t="s">
        <v>301</v>
      </c>
      <c r="H36" s="5" t="s">
        <v>302</v>
      </c>
    </row>
    <row r="37" spans="1:8" x14ac:dyDescent="0.3">
      <c r="A37" s="3" t="s">
        <v>421</v>
      </c>
      <c r="B37" s="5" t="s">
        <v>296</v>
      </c>
      <c r="C37" s="10"/>
      <c r="G37" s="3" t="s">
        <v>310</v>
      </c>
      <c r="H37" s="5" t="s">
        <v>310</v>
      </c>
    </row>
    <row r="38" spans="1:8" x14ac:dyDescent="0.3">
      <c r="A38" s="3" t="s">
        <v>437</v>
      </c>
      <c r="B38" s="5" t="s">
        <v>438</v>
      </c>
      <c r="C38" s="10"/>
      <c r="G38" s="3" t="s">
        <v>316</v>
      </c>
      <c r="H38" s="5" t="s">
        <v>316</v>
      </c>
    </row>
    <row r="39" spans="1:8" x14ac:dyDescent="0.3">
      <c r="A39" s="3" t="s">
        <v>448</v>
      </c>
      <c r="B39" s="5" t="s">
        <v>449</v>
      </c>
      <c r="C39" s="10"/>
      <c r="G39" s="3" t="s">
        <v>320</v>
      </c>
      <c r="H39" s="5" t="s">
        <v>321</v>
      </c>
    </row>
    <row r="40" spans="1:8" x14ac:dyDescent="0.3">
      <c r="A40" s="3" t="s">
        <v>455</v>
      </c>
      <c r="B40" s="5" t="s">
        <v>178</v>
      </c>
      <c r="C40" s="10"/>
      <c r="G40" s="3" t="s">
        <v>325</v>
      </c>
      <c r="H40" s="5" t="s">
        <v>325</v>
      </c>
    </row>
    <row r="41" spans="1:8" x14ac:dyDescent="0.3">
      <c r="A41" s="3" t="s">
        <v>460</v>
      </c>
      <c r="B41" s="5" t="s">
        <v>304</v>
      </c>
      <c r="C41" s="10"/>
      <c r="G41" s="3" t="s">
        <v>332</v>
      </c>
      <c r="H41" s="5" t="s">
        <v>333</v>
      </c>
    </row>
    <row r="42" spans="1:8" x14ac:dyDescent="0.3">
      <c r="A42" s="3" t="s">
        <v>503</v>
      </c>
      <c r="B42" s="5" t="s">
        <v>239</v>
      </c>
      <c r="C42" s="10"/>
      <c r="G42" s="3" t="s">
        <v>338</v>
      </c>
      <c r="H42" s="5" t="s">
        <v>338</v>
      </c>
    </row>
    <row r="43" spans="1:8" x14ac:dyDescent="0.3">
      <c r="A43" s="3" t="s">
        <v>529</v>
      </c>
      <c r="B43" s="5" t="s">
        <v>530</v>
      </c>
      <c r="C43" s="10"/>
      <c r="G43" s="3" t="s">
        <v>343</v>
      </c>
      <c r="H43" s="5" t="s">
        <v>343</v>
      </c>
    </row>
    <row r="44" spans="1:8" x14ac:dyDescent="0.3">
      <c r="A44" s="3" t="s">
        <v>550</v>
      </c>
      <c r="B44" s="5" t="s">
        <v>34</v>
      </c>
      <c r="C44" s="10"/>
      <c r="G44" s="3" t="s">
        <v>348</v>
      </c>
      <c r="H44" s="5" t="s">
        <v>348</v>
      </c>
    </row>
    <row r="45" spans="1:8" x14ac:dyDescent="0.3">
      <c r="A45" s="3" t="s">
        <v>553</v>
      </c>
      <c r="B45" s="5" t="s">
        <v>23</v>
      </c>
      <c r="C45" s="10"/>
      <c r="G45" s="3" t="s">
        <v>357</v>
      </c>
      <c r="H45" s="5" t="s">
        <v>358</v>
      </c>
    </row>
    <row r="46" spans="1:8" x14ac:dyDescent="0.3">
      <c r="A46" s="3" t="s">
        <v>558</v>
      </c>
      <c r="B46" s="5" t="s">
        <v>101</v>
      </c>
      <c r="C46" s="10"/>
      <c r="G46" s="3" t="s">
        <v>362</v>
      </c>
      <c r="H46" s="5" t="s">
        <v>362</v>
      </c>
    </row>
    <row r="47" spans="1:8" x14ac:dyDescent="0.3">
      <c r="G47" s="3" t="s">
        <v>367</v>
      </c>
      <c r="H47" s="5" t="s">
        <v>367</v>
      </c>
    </row>
    <row r="48" spans="1:8" x14ac:dyDescent="0.3">
      <c r="G48" s="3" t="s">
        <v>374</v>
      </c>
      <c r="H48" s="5" t="s">
        <v>374</v>
      </c>
    </row>
    <row r="49" spans="7:8" x14ac:dyDescent="0.3">
      <c r="G49" s="3" t="s">
        <v>380</v>
      </c>
      <c r="H49" s="5" t="s">
        <v>381</v>
      </c>
    </row>
    <row r="50" spans="7:8" x14ac:dyDescent="0.3">
      <c r="G50" s="3" t="s">
        <v>388</v>
      </c>
      <c r="H50" s="5" t="s">
        <v>388</v>
      </c>
    </row>
    <row r="51" spans="7:8" x14ac:dyDescent="0.3">
      <c r="G51" s="3" t="s">
        <v>393</v>
      </c>
      <c r="H51" s="5" t="s">
        <v>393</v>
      </c>
    </row>
    <row r="52" spans="7:8" x14ac:dyDescent="0.3">
      <c r="G52" s="3" t="s">
        <v>397</v>
      </c>
      <c r="H52" s="5" t="s">
        <v>397</v>
      </c>
    </row>
    <row r="53" spans="7:8" x14ac:dyDescent="0.3">
      <c r="G53" s="3" t="s">
        <v>404</v>
      </c>
      <c r="H53" s="5" t="s">
        <v>404</v>
      </c>
    </row>
    <row r="54" spans="7:8" x14ac:dyDescent="0.3">
      <c r="G54" s="3" t="s">
        <v>410</v>
      </c>
      <c r="H54" s="5" t="s">
        <v>410</v>
      </c>
    </row>
    <row r="55" spans="7:8" x14ac:dyDescent="0.3">
      <c r="G55" s="3" t="s">
        <v>415</v>
      </c>
      <c r="H55" s="5" t="s">
        <v>415</v>
      </c>
    </row>
    <row r="56" spans="7:8" x14ac:dyDescent="0.3">
      <c r="G56" s="3" t="s">
        <v>420</v>
      </c>
      <c r="H56" s="5" t="s">
        <v>420</v>
      </c>
    </row>
    <row r="57" spans="7:8" x14ac:dyDescent="0.3">
      <c r="G57" s="3" t="s">
        <v>426</v>
      </c>
      <c r="H57" s="5" t="s">
        <v>426</v>
      </c>
    </row>
    <row r="58" spans="7:8" x14ac:dyDescent="0.3">
      <c r="G58" s="3" t="s">
        <v>431</v>
      </c>
      <c r="H58" s="5" t="s">
        <v>431</v>
      </c>
    </row>
    <row r="59" spans="7:8" x14ac:dyDescent="0.3">
      <c r="G59" s="3" t="s">
        <v>436</v>
      </c>
      <c r="H59" s="5" t="s">
        <v>436</v>
      </c>
    </row>
    <row r="60" spans="7:8" x14ac:dyDescent="0.3">
      <c r="G60" s="3" t="s">
        <v>443</v>
      </c>
      <c r="H60" s="5" t="s">
        <v>443</v>
      </c>
    </row>
    <row r="61" spans="7:8" x14ac:dyDescent="0.3">
      <c r="G61" s="3" t="s">
        <v>447</v>
      </c>
      <c r="H61" s="5" t="s">
        <v>447</v>
      </c>
    </row>
    <row r="62" spans="7:8" x14ac:dyDescent="0.3">
      <c r="G62" s="3" t="s">
        <v>454</v>
      </c>
      <c r="H62" s="5" t="s">
        <v>454</v>
      </c>
    </row>
    <row r="63" spans="7:8" x14ac:dyDescent="0.3">
      <c r="G63" s="3" t="s">
        <v>459</v>
      </c>
      <c r="H63" s="5" t="s">
        <v>459</v>
      </c>
    </row>
    <row r="64" spans="7:8" x14ac:dyDescent="0.3">
      <c r="G64" s="3" t="s">
        <v>464</v>
      </c>
      <c r="H64" s="5" t="s">
        <v>464</v>
      </c>
    </row>
    <row r="65" spans="7:8" x14ac:dyDescent="0.3">
      <c r="G65" s="3" t="s">
        <v>468</v>
      </c>
      <c r="H65" s="5" t="s">
        <v>469</v>
      </c>
    </row>
    <row r="66" spans="7:8" x14ac:dyDescent="0.3">
      <c r="G66" s="3" t="s">
        <v>475</v>
      </c>
      <c r="H66" s="5" t="s">
        <v>475</v>
      </c>
    </row>
    <row r="67" spans="7:8" x14ac:dyDescent="0.3">
      <c r="G67" s="3" t="s">
        <v>480</v>
      </c>
      <c r="H67" s="5" t="s">
        <v>480</v>
      </c>
    </row>
    <row r="68" spans="7:8" x14ac:dyDescent="0.3">
      <c r="G68" s="3" t="s">
        <v>483</v>
      </c>
      <c r="H68" s="5" t="s">
        <v>483</v>
      </c>
    </row>
    <row r="69" spans="7:8" x14ac:dyDescent="0.3">
      <c r="G69" s="3" t="s">
        <v>488</v>
      </c>
      <c r="H69" s="5" t="s">
        <v>488</v>
      </c>
    </row>
    <row r="70" spans="7:8" x14ac:dyDescent="0.3">
      <c r="G70" s="3" t="s">
        <v>492</v>
      </c>
      <c r="H70" s="5" t="s">
        <v>492</v>
      </c>
    </row>
    <row r="71" spans="7:8" x14ac:dyDescent="0.3">
      <c r="G71" s="3" t="s">
        <v>496</v>
      </c>
      <c r="H71" s="5" t="s">
        <v>496</v>
      </c>
    </row>
    <row r="72" spans="7:8" x14ac:dyDescent="0.3">
      <c r="G72" s="3" t="s">
        <v>502</v>
      </c>
      <c r="H72" s="5" t="s">
        <v>502</v>
      </c>
    </row>
    <row r="73" spans="7:8" x14ac:dyDescent="0.3">
      <c r="G73" s="3" t="s">
        <v>506</v>
      </c>
      <c r="H73" s="5" t="s">
        <v>506</v>
      </c>
    </row>
    <row r="74" spans="7:8" x14ac:dyDescent="0.3">
      <c r="G74" s="3" t="s">
        <v>510</v>
      </c>
      <c r="H74" s="5" t="s">
        <v>510</v>
      </c>
    </row>
    <row r="75" spans="7:8" x14ac:dyDescent="0.3">
      <c r="G75" s="3" t="s">
        <v>513</v>
      </c>
      <c r="H75" s="5" t="s">
        <v>513</v>
      </c>
    </row>
    <row r="76" spans="7:8" x14ac:dyDescent="0.3">
      <c r="G76" s="3" t="s">
        <v>517</v>
      </c>
      <c r="H76" s="5" t="s">
        <v>517</v>
      </c>
    </row>
    <row r="77" spans="7:8" x14ac:dyDescent="0.3">
      <c r="G77" s="3" t="s">
        <v>521</v>
      </c>
      <c r="H77" s="5" t="s">
        <v>521</v>
      </c>
    </row>
    <row r="78" spans="7:8" x14ac:dyDescent="0.3">
      <c r="G78" s="3" t="s">
        <v>524</v>
      </c>
      <c r="H78" s="5" t="s">
        <v>524</v>
      </c>
    </row>
    <row r="79" spans="7:8" x14ac:dyDescent="0.3">
      <c r="G79" s="3" t="s">
        <v>528</v>
      </c>
      <c r="H79" s="5" t="s">
        <v>528</v>
      </c>
    </row>
    <row r="80" spans="7:8" x14ac:dyDescent="0.3">
      <c r="G80" s="3" t="s">
        <v>564</v>
      </c>
      <c r="H80" s="5" t="s">
        <v>565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1523F-ECC4-4418-B32E-30244112560C}">
  <dimension ref="A3:E179"/>
  <sheetViews>
    <sheetView workbookViewId="0">
      <selection activeCell="H20" sqref="H20"/>
    </sheetView>
  </sheetViews>
  <sheetFormatPr defaultRowHeight="14.4" x14ac:dyDescent="0.3"/>
  <cols>
    <col min="1" max="1" width="21.33203125" bestFit="1" customWidth="1"/>
    <col min="2" max="2" width="23.6640625" bestFit="1" customWidth="1"/>
    <col min="4" max="4" width="22.88671875" bestFit="1" customWidth="1"/>
    <col min="5" max="5" width="23.6640625" bestFit="1" customWidth="1"/>
  </cols>
  <sheetData>
    <row r="3" spans="1:5" x14ac:dyDescent="0.3">
      <c r="A3" s="12" t="s">
        <v>584</v>
      </c>
      <c r="B3" t="s">
        <v>586</v>
      </c>
      <c r="D3" s="12" t="s">
        <v>584</v>
      </c>
      <c r="E3" t="s">
        <v>586</v>
      </c>
    </row>
    <row r="4" spans="1:5" x14ac:dyDescent="0.3">
      <c r="A4" s="13" t="s">
        <v>96</v>
      </c>
      <c r="B4" s="16">
        <v>219400</v>
      </c>
      <c r="D4" s="13" t="s">
        <v>310</v>
      </c>
      <c r="E4" s="16">
        <v>198300</v>
      </c>
    </row>
    <row r="5" spans="1:5" x14ac:dyDescent="0.3">
      <c r="A5" s="14" t="s">
        <v>76</v>
      </c>
      <c r="B5" s="16">
        <v>74000</v>
      </c>
      <c r="D5" s="14" t="s">
        <v>308</v>
      </c>
      <c r="E5" s="16">
        <v>198300</v>
      </c>
    </row>
    <row r="6" spans="1:5" x14ac:dyDescent="0.3">
      <c r="A6" s="14" t="s">
        <v>56</v>
      </c>
      <c r="B6" s="16">
        <v>71900</v>
      </c>
      <c r="D6" s="13" t="s">
        <v>393</v>
      </c>
      <c r="E6" s="16">
        <v>142000</v>
      </c>
    </row>
    <row r="7" spans="1:5" x14ac:dyDescent="0.3">
      <c r="A7" s="14" t="s">
        <v>104</v>
      </c>
      <c r="B7" s="16">
        <v>73500</v>
      </c>
      <c r="D7" s="14" t="s">
        <v>222</v>
      </c>
      <c r="E7" s="16">
        <v>142000</v>
      </c>
    </row>
    <row r="8" spans="1:5" x14ac:dyDescent="0.3">
      <c r="A8" s="13" t="s">
        <v>473</v>
      </c>
      <c r="B8" s="16">
        <v>91500</v>
      </c>
      <c r="D8" s="13" t="s">
        <v>436</v>
      </c>
      <c r="E8" s="16">
        <v>132000</v>
      </c>
    </row>
    <row r="9" spans="1:5" x14ac:dyDescent="0.3">
      <c r="A9" s="14" t="s">
        <v>104</v>
      </c>
      <c r="B9" s="16">
        <v>91500</v>
      </c>
      <c r="D9" s="14" t="s">
        <v>149</v>
      </c>
      <c r="E9" s="16">
        <v>132000</v>
      </c>
    </row>
    <row r="10" spans="1:5" x14ac:dyDescent="0.3">
      <c r="A10" s="13" t="s">
        <v>17</v>
      </c>
      <c r="B10" s="16">
        <v>228300</v>
      </c>
      <c r="D10" s="13" t="s">
        <v>338</v>
      </c>
      <c r="E10" s="16">
        <v>286500</v>
      </c>
    </row>
    <row r="11" spans="1:5" x14ac:dyDescent="0.3">
      <c r="A11" s="14" t="s">
        <v>76</v>
      </c>
      <c r="B11" s="16">
        <v>78900</v>
      </c>
      <c r="D11" s="14" t="s">
        <v>336</v>
      </c>
      <c r="E11" s="16">
        <v>286500</v>
      </c>
    </row>
    <row r="12" spans="1:5" x14ac:dyDescent="0.3">
      <c r="A12" s="14" t="s">
        <v>26</v>
      </c>
      <c r="B12" s="16">
        <v>79500</v>
      </c>
      <c r="D12" s="13" t="s">
        <v>153</v>
      </c>
      <c r="E12" s="16">
        <v>434800</v>
      </c>
    </row>
    <row r="13" spans="1:5" x14ac:dyDescent="0.3">
      <c r="A13" s="14" t="s">
        <v>56</v>
      </c>
      <c r="B13" s="16">
        <v>69900</v>
      </c>
      <c r="D13" s="14" t="s">
        <v>149</v>
      </c>
      <c r="E13" s="16">
        <v>127800</v>
      </c>
    </row>
    <row r="14" spans="1:5" x14ac:dyDescent="0.3">
      <c r="A14" s="13" t="s">
        <v>235</v>
      </c>
      <c r="B14" s="16">
        <v>350000</v>
      </c>
      <c r="D14" s="14" t="s">
        <v>222</v>
      </c>
      <c r="E14" s="16">
        <v>148500</v>
      </c>
    </row>
    <row r="15" spans="1:5" x14ac:dyDescent="0.3">
      <c r="A15" s="14" t="s">
        <v>26</v>
      </c>
      <c r="B15" s="16">
        <v>176400</v>
      </c>
      <c r="D15" s="14" t="s">
        <v>116</v>
      </c>
      <c r="E15" s="16">
        <v>158500</v>
      </c>
    </row>
    <row r="16" spans="1:5" x14ac:dyDescent="0.3">
      <c r="A16" s="14" t="s">
        <v>56</v>
      </c>
      <c r="B16" s="16">
        <v>173600</v>
      </c>
      <c r="D16" s="13" t="s">
        <v>42</v>
      </c>
      <c r="E16" s="16">
        <v>193750</v>
      </c>
    </row>
    <row r="17" spans="1:5" x14ac:dyDescent="0.3">
      <c r="A17" s="13" t="s">
        <v>500</v>
      </c>
      <c r="B17" s="16">
        <v>82750</v>
      </c>
      <c r="D17" s="14" t="s">
        <v>38</v>
      </c>
      <c r="E17" s="16">
        <v>112750</v>
      </c>
    </row>
    <row r="18" spans="1:5" x14ac:dyDescent="0.3">
      <c r="A18" s="14" t="s">
        <v>76</v>
      </c>
      <c r="B18" s="16">
        <v>82750</v>
      </c>
      <c r="D18" s="14" t="s">
        <v>199</v>
      </c>
      <c r="E18" s="16">
        <v>81000</v>
      </c>
    </row>
    <row r="19" spans="1:5" x14ac:dyDescent="0.3">
      <c r="A19" s="13" t="s">
        <v>165</v>
      </c>
      <c r="B19" s="16">
        <v>333000</v>
      </c>
      <c r="D19" s="13" t="s">
        <v>343</v>
      </c>
      <c r="E19" s="16">
        <v>92800</v>
      </c>
    </row>
    <row r="20" spans="1:5" x14ac:dyDescent="0.3">
      <c r="A20" s="14" t="s">
        <v>47</v>
      </c>
      <c r="B20" s="16">
        <v>333000</v>
      </c>
      <c r="D20" s="14" t="s">
        <v>88</v>
      </c>
      <c r="E20" s="16">
        <v>92800</v>
      </c>
    </row>
    <row r="21" spans="1:5" x14ac:dyDescent="0.3">
      <c r="A21" s="13" t="s">
        <v>150</v>
      </c>
      <c r="B21" s="16">
        <v>251400</v>
      </c>
      <c r="D21" s="13" t="s">
        <v>528</v>
      </c>
      <c r="E21" s="16">
        <v>224000</v>
      </c>
    </row>
    <row r="22" spans="1:5" x14ac:dyDescent="0.3">
      <c r="A22" s="14" t="s">
        <v>26</v>
      </c>
      <c r="B22" s="16">
        <v>251400</v>
      </c>
      <c r="D22" s="14" t="s">
        <v>123</v>
      </c>
      <c r="E22" s="16">
        <v>224000</v>
      </c>
    </row>
    <row r="23" spans="1:5" x14ac:dyDescent="0.3">
      <c r="A23" s="13" t="s">
        <v>149</v>
      </c>
      <c r="B23" s="16">
        <v>259800</v>
      </c>
      <c r="D23" s="13" t="s">
        <v>21</v>
      </c>
      <c r="E23" s="16">
        <v>328800</v>
      </c>
    </row>
    <row r="24" spans="1:5" x14ac:dyDescent="0.3">
      <c r="A24" s="14" t="s">
        <v>26</v>
      </c>
      <c r="B24" s="16">
        <v>127800</v>
      </c>
      <c r="D24" s="14" t="s">
        <v>17</v>
      </c>
      <c r="E24" s="16">
        <v>79500</v>
      </c>
    </row>
    <row r="25" spans="1:5" x14ac:dyDescent="0.3">
      <c r="A25" s="14" t="s">
        <v>267</v>
      </c>
      <c r="B25" s="16">
        <v>132000</v>
      </c>
      <c r="D25" s="14" t="s">
        <v>29</v>
      </c>
      <c r="E25" s="16">
        <v>249300</v>
      </c>
    </row>
    <row r="26" spans="1:5" x14ac:dyDescent="0.3">
      <c r="A26" s="13" t="s">
        <v>243</v>
      </c>
      <c r="B26" s="16">
        <v>241650</v>
      </c>
      <c r="D26" s="13" t="s">
        <v>480</v>
      </c>
      <c r="E26" s="16">
        <v>134000</v>
      </c>
    </row>
    <row r="27" spans="1:5" x14ac:dyDescent="0.3">
      <c r="A27" s="14" t="s">
        <v>26</v>
      </c>
      <c r="B27" s="16">
        <v>241650</v>
      </c>
      <c r="D27" s="14" t="s">
        <v>130</v>
      </c>
      <c r="E27" s="16">
        <v>134000</v>
      </c>
    </row>
    <row r="28" spans="1:5" x14ac:dyDescent="0.3">
      <c r="A28" s="13" t="s">
        <v>79</v>
      </c>
      <c r="B28" s="16">
        <v>200900</v>
      </c>
      <c r="D28" s="13" t="s">
        <v>469</v>
      </c>
      <c r="E28" s="16">
        <v>121750</v>
      </c>
    </row>
    <row r="29" spans="1:5" x14ac:dyDescent="0.3">
      <c r="A29" s="14" t="s">
        <v>76</v>
      </c>
      <c r="B29" s="16">
        <v>104600</v>
      </c>
      <c r="D29" s="14" t="s">
        <v>243</v>
      </c>
      <c r="E29" s="16">
        <v>121750</v>
      </c>
    </row>
    <row r="30" spans="1:5" x14ac:dyDescent="0.3">
      <c r="A30" s="14" t="s">
        <v>26</v>
      </c>
      <c r="B30" s="16">
        <v>96300</v>
      </c>
      <c r="D30" s="13" t="s">
        <v>176</v>
      </c>
      <c r="E30" s="16">
        <v>215300</v>
      </c>
    </row>
    <row r="31" spans="1:5" x14ac:dyDescent="0.3">
      <c r="A31" s="13" t="s">
        <v>212</v>
      </c>
      <c r="B31" s="16">
        <v>810600</v>
      </c>
      <c r="D31" s="14" t="s">
        <v>88</v>
      </c>
      <c r="E31" s="16">
        <v>96800</v>
      </c>
    </row>
    <row r="32" spans="1:5" x14ac:dyDescent="0.3">
      <c r="A32" s="14" t="s">
        <v>219</v>
      </c>
      <c r="B32" s="16">
        <v>270000</v>
      </c>
      <c r="D32" s="14" t="s">
        <v>174</v>
      </c>
      <c r="E32" s="16">
        <v>118500</v>
      </c>
    </row>
    <row r="33" spans="1:5" x14ac:dyDescent="0.3">
      <c r="A33" s="14" t="s">
        <v>26</v>
      </c>
      <c r="B33" s="16">
        <v>540600</v>
      </c>
      <c r="D33" s="13" t="s">
        <v>517</v>
      </c>
      <c r="E33" s="16">
        <v>156500</v>
      </c>
    </row>
    <row r="34" spans="1:5" x14ac:dyDescent="0.3">
      <c r="A34" s="13" t="s">
        <v>123</v>
      </c>
      <c r="B34" s="16">
        <v>697500</v>
      </c>
      <c r="D34" s="14" t="s">
        <v>190</v>
      </c>
      <c r="E34" s="16">
        <v>156500</v>
      </c>
    </row>
    <row r="35" spans="1:5" x14ac:dyDescent="0.3">
      <c r="A35" s="14" t="s">
        <v>146</v>
      </c>
      <c r="B35" s="16">
        <v>224000</v>
      </c>
      <c r="D35" s="13" t="s">
        <v>100</v>
      </c>
      <c r="E35" s="16">
        <v>166100</v>
      </c>
    </row>
    <row r="36" spans="1:5" x14ac:dyDescent="0.3">
      <c r="A36" s="14" t="s">
        <v>56</v>
      </c>
      <c r="B36" s="16">
        <v>473500</v>
      </c>
      <c r="D36" s="14" t="s">
        <v>96</v>
      </c>
      <c r="E36" s="16">
        <v>73500</v>
      </c>
    </row>
    <row r="37" spans="1:5" x14ac:dyDescent="0.3">
      <c r="A37" s="13" t="s">
        <v>336</v>
      </c>
      <c r="B37" s="16">
        <v>286500</v>
      </c>
      <c r="D37" s="14" t="s">
        <v>207</v>
      </c>
      <c r="E37" s="16">
        <v>92600</v>
      </c>
    </row>
    <row r="38" spans="1:5" x14ac:dyDescent="0.3">
      <c r="A38" s="14" t="s">
        <v>56</v>
      </c>
      <c r="B38" s="16">
        <v>286500</v>
      </c>
      <c r="D38" s="13" t="s">
        <v>431</v>
      </c>
      <c r="E38" s="16">
        <v>200000</v>
      </c>
    </row>
    <row r="39" spans="1:5" x14ac:dyDescent="0.3">
      <c r="A39" s="13" t="s">
        <v>361</v>
      </c>
      <c r="B39" s="16">
        <v>284500</v>
      </c>
      <c r="D39" s="14" t="s">
        <v>139</v>
      </c>
      <c r="E39" s="16">
        <v>200000</v>
      </c>
    </row>
    <row r="40" spans="1:5" x14ac:dyDescent="0.3">
      <c r="A40" s="14" t="s">
        <v>47</v>
      </c>
      <c r="B40" s="16">
        <v>284500</v>
      </c>
      <c r="D40" s="13" t="s">
        <v>282</v>
      </c>
      <c r="E40" s="16">
        <v>67500</v>
      </c>
    </row>
    <row r="41" spans="1:5" x14ac:dyDescent="0.3">
      <c r="A41" s="13" t="s">
        <v>190</v>
      </c>
      <c r="B41" s="16">
        <v>315250</v>
      </c>
      <c r="D41" s="14" t="s">
        <v>159</v>
      </c>
      <c r="E41" s="16">
        <v>67500</v>
      </c>
    </row>
    <row r="42" spans="1:5" x14ac:dyDescent="0.3">
      <c r="A42" s="14" t="s">
        <v>26</v>
      </c>
      <c r="B42" s="16">
        <v>315250</v>
      </c>
      <c r="D42" s="13" t="s">
        <v>333</v>
      </c>
      <c r="E42" s="16">
        <v>136000</v>
      </c>
    </row>
    <row r="43" spans="1:5" x14ac:dyDescent="0.3">
      <c r="A43" s="13" t="s">
        <v>308</v>
      </c>
      <c r="B43" s="16">
        <v>198300</v>
      </c>
      <c r="D43" s="14" t="s">
        <v>330</v>
      </c>
      <c r="E43" s="16">
        <v>136000</v>
      </c>
    </row>
    <row r="44" spans="1:5" x14ac:dyDescent="0.3">
      <c r="A44" s="14" t="s">
        <v>146</v>
      </c>
      <c r="B44" s="16">
        <v>198300</v>
      </c>
      <c r="D44" s="13" t="s">
        <v>237</v>
      </c>
      <c r="E44" s="16">
        <v>173600</v>
      </c>
    </row>
    <row r="45" spans="1:5" x14ac:dyDescent="0.3">
      <c r="A45" s="13" t="s">
        <v>29</v>
      </c>
      <c r="B45" s="16">
        <v>726300</v>
      </c>
      <c r="D45" s="14" t="s">
        <v>235</v>
      </c>
      <c r="E45" s="16">
        <v>173600</v>
      </c>
    </row>
    <row r="46" spans="1:5" x14ac:dyDescent="0.3">
      <c r="A46" s="14" t="s">
        <v>146</v>
      </c>
      <c r="B46" s="16">
        <v>249300</v>
      </c>
      <c r="D46" s="13" t="s">
        <v>415</v>
      </c>
      <c r="E46" s="16">
        <v>101300</v>
      </c>
    </row>
    <row r="47" spans="1:5" x14ac:dyDescent="0.3">
      <c r="A47" s="14" t="s">
        <v>219</v>
      </c>
      <c r="B47" s="16">
        <v>242000</v>
      </c>
      <c r="D47" s="14" t="s">
        <v>70</v>
      </c>
      <c r="E47" s="16">
        <v>101300</v>
      </c>
    </row>
    <row r="48" spans="1:5" x14ac:dyDescent="0.3">
      <c r="A48" s="14" t="s">
        <v>26</v>
      </c>
      <c r="B48" s="16">
        <v>235000</v>
      </c>
      <c r="D48" s="13" t="s">
        <v>120</v>
      </c>
      <c r="E48" s="16">
        <v>317200.5</v>
      </c>
    </row>
    <row r="49" spans="1:5" x14ac:dyDescent="0.3">
      <c r="A49" s="13" t="s">
        <v>228</v>
      </c>
      <c r="B49" s="16">
        <v>239700</v>
      </c>
      <c r="D49" s="14" t="s">
        <v>116</v>
      </c>
      <c r="E49" s="16">
        <v>317200.5</v>
      </c>
    </row>
    <row r="50" spans="1:5" x14ac:dyDescent="0.3">
      <c r="A50" s="14" t="s">
        <v>401</v>
      </c>
      <c r="B50" s="16">
        <v>78400</v>
      </c>
      <c r="D50" s="13" t="s">
        <v>52</v>
      </c>
      <c r="E50" s="16">
        <v>201600</v>
      </c>
    </row>
    <row r="51" spans="1:5" x14ac:dyDescent="0.3">
      <c r="A51" s="14" t="s">
        <v>26</v>
      </c>
      <c r="B51" s="16">
        <v>76800</v>
      </c>
      <c r="D51" s="14" t="s">
        <v>49</v>
      </c>
      <c r="E51" s="16">
        <v>68900</v>
      </c>
    </row>
    <row r="52" spans="1:5" x14ac:dyDescent="0.3">
      <c r="A52" s="14" t="s">
        <v>56</v>
      </c>
      <c r="B52" s="16">
        <v>84500</v>
      </c>
      <c r="D52" s="14" t="s">
        <v>59</v>
      </c>
      <c r="E52" s="16">
        <v>132700</v>
      </c>
    </row>
    <row r="53" spans="1:5" x14ac:dyDescent="0.3">
      <c r="A53" s="13" t="s">
        <v>38</v>
      </c>
      <c r="B53" s="16">
        <v>436250</v>
      </c>
      <c r="D53" s="13" t="s">
        <v>230</v>
      </c>
      <c r="E53" s="16">
        <v>76800</v>
      </c>
    </row>
    <row r="54" spans="1:5" x14ac:dyDescent="0.3">
      <c r="A54" s="14" t="s">
        <v>47</v>
      </c>
      <c r="B54" s="16">
        <v>223750</v>
      </c>
      <c r="D54" s="14" t="s">
        <v>228</v>
      </c>
      <c r="E54" s="16">
        <v>76800</v>
      </c>
    </row>
    <row r="55" spans="1:5" x14ac:dyDescent="0.3">
      <c r="A55" s="14" t="s">
        <v>93</v>
      </c>
      <c r="B55" s="16">
        <v>212500</v>
      </c>
      <c r="D55" s="13" t="s">
        <v>483</v>
      </c>
      <c r="E55" s="16">
        <v>96800</v>
      </c>
    </row>
    <row r="56" spans="1:5" x14ac:dyDescent="0.3">
      <c r="A56" s="13" t="s">
        <v>88</v>
      </c>
      <c r="B56" s="16">
        <v>373650</v>
      </c>
      <c r="D56" s="14" t="s">
        <v>107</v>
      </c>
      <c r="E56" s="16">
        <v>96800</v>
      </c>
    </row>
    <row r="57" spans="1:5" x14ac:dyDescent="0.3">
      <c r="A57" s="14" t="s">
        <v>26</v>
      </c>
      <c r="B57" s="16">
        <v>283900</v>
      </c>
      <c r="D57" s="13" t="s">
        <v>254</v>
      </c>
      <c r="E57" s="16">
        <v>109250</v>
      </c>
    </row>
    <row r="58" spans="1:5" x14ac:dyDescent="0.3">
      <c r="A58" s="14" t="s">
        <v>93</v>
      </c>
      <c r="B58" s="16">
        <v>89750</v>
      </c>
      <c r="D58" s="14" t="s">
        <v>252</v>
      </c>
      <c r="E58" s="16">
        <v>109250</v>
      </c>
    </row>
    <row r="59" spans="1:5" x14ac:dyDescent="0.3">
      <c r="A59" s="13" t="s">
        <v>181</v>
      </c>
      <c r="B59" s="16">
        <v>289450</v>
      </c>
      <c r="D59" s="13" t="s">
        <v>321</v>
      </c>
      <c r="E59" s="16">
        <v>93600</v>
      </c>
    </row>
    <row r="60" spans="1:5" x14ac:dyDescent="0.3">
      <c r="A60" s="14" t="s">
        <v>26</v>
      </c>
      <c r="B60" s="16">
        <v>99950</v>
      </c>
      <c r="D60" s="14" t="s">
        <v>107</v>
      </c>
      <c r="E60" s="16">
        <v>93600</v>
      </c>
    </row>
    <row r="61" spans="1:5" x14ac:dyDescent="0.3">
      <c r="A61" s="14" t="s">
        <v>56</v>
      </c>
      <c r="B61" s="16">
        <v>189500</v>
      </c>
      <c r="D61" s="13" t="s">
        <v>510</v>
      </c>
      <c r="E61" s="16">
        <v>79900</v>
      </c>
    </row>
    <row r="62" spans="1:5" x14ac:dyDescent="0.3">
      <c r="A62" s="13" t="s">
        <v>372</v>
      </c>
      <c r="B62" s="16">
        <v>146800</v>
      </c>
      <c r="D62" s="14" t="s">
        <v>199</v>
      </c>
      <c r="E62" s="16">
        <v>79900</v>
      </c>
    </row>
    <row r="63" spans="1:5" x14ac:dyDescent="0.3">
      <c r="A63" s="14" t="s">
        <v>56</v>
      </c>
      <c r="B63" s="16">
        <v>146800</v>
      </c>
      <c r="D63" s="13" t="s">
        <v>454</v>
      </c>
      <c r="E63" s="16">
        <v>59000</v>
      </c>
    </row>
    <row r="64" spans="1:5" x14ac:dyDescent="0.3">
      <c r="A64" s="13" t="s">
        <v>139</v>
      </c>
      <c r="B64" s="16">
        <v>592800</v>
      </c>
      <c r="D64" s="14" t="s">
        <v>159</v>
      </c>
      <c r="E64" s="16">
        <v>59000</v>
      </c>
    </row>
    <row r="65" spans="1:5" x14ac:dyDescent="0.3">
      <c r="A65" s="14" t="s">
        <v>146</v>
      </c>
      <c r="B65" s="16">
        <v>188000</v>
      </c>
      <c r="D65" s="13" t="s">
        <v>397</v>
      </c>
      <c r="E65" s="16">
        <v>78400</v>
      </c>
    </row>
    <row r="66" spans="1:5" x14ac:dyDescent="0.3">
      <c r="A66" s="14" t="s">
        <v>26</v>
      </c>
      <c r="B66" s="16">
        <v>200000</v>
      </c>
      <c r="D66" s="14" t="s">
        <v>228</v>
      </c>
      <c r="E66" s="16">
        <v>78400</v>
      </c>
    </row>
    <row r="67" spans="1:5" x14ac:dyDescent="0.3">
      <c r="A67" s="14" t="s">
        <v>56</v>
      </c>
      <c r="B67" s="16">
        <v>204800</v>
      </c>
      <c r="D67" s="13" t="s">
        <v>388</v>
      </c>
      <c r="E67" s="16">
        <v>104600</v>
      </c>
    </row>
    <row r="68" spans="1:5" x14ac:dyDescent="0.3">
      <c r="A68" s="13" t="s">
        <v>159</v>
      </c>
      <c r="B68" s="16">
        <v>185400</v>
      </c>
      <c r="D68" s="14" t="s">
        <v>79</v>
      </c>
      <c r="E68" s="16">
        <v>104600</v>
      </c>
    </row>
    <row r="69" spans="1:5" x14ac:dyDescent="0.3">
      <c r="A69" s="14" t="s">
        <v>146</v>
      </c>
      <c r="B69" s="16">
        <v>59000</v>
      </c>
      <c r="D69" s="13" t="s">
        <v>142</v>
      </c>
      <c r="E69" s="16">
        <v>188000</v>
      </c>
    </row>
    <row r="70" spans="1:5" x14ac:dyDescent="0.3">
      <c r="A70" s="14" t="s">
        <v>26</v>
      </c>
      <c r="B70" s="16">
        <v>67500</v>
      </c>
      <c r="D70" s="14" t="s">
        <v>139</v>
      </c>
      <c r="E70" s="16">
        <v>188000</v>
      </c>
    </row>
    <row r="71" spans="1:5" x14ac:dyDescent="0.3">
      <c r="A71" s="14" t="s">
        <v>56</v>
      </c>
      <c r="B71" s="16">
        <v>58900</v>
      </c>
      <c r="D71" s="13" t="s">
        <v>246</v>
      </c>
      <c r="E71" s="16">
        <v>119900</v>
      </c>
    </row>
    <row r="72" spans="1:5" x14ac:dyDescent="0.3">
      <c r="A72" s="13" t="s">
        <v>207</v>
      </c>
      <c r="B72" s="16">
        <v>360100</v>
      </c>
      <c r="D72" s="14" t="s">
        <v>243</v>
      </c>
      <c r="E72" s="16">
        <v>119900</v>
      </c>
    </row>
    <row r="73" spans="1:5" x14ac:dyDescent="0.3">
      <c r="A73" s="14" t="s">
        <v>26</v>
      </c>
      <c r="B73" s="16">
        <v>267500</v>
      </c>
      <c r="D73" s="13" t="s">
        <v>506</v>
      </c>
      <c r="E73" s="16">
        <v>91300</v>
      </c>
    </row>
    <row r="74" spans="1:5" x14ac:dyDescent="0.3">
      <c r="A74" s="14" t="s">
        <v>104</v>
      </c>
      <c r="B74" s="16">
        <v>92600</v>
      </c>
      <c r="D74" s="14" t="s">
        <v>207</v>
      </c>
      <c r="E74" s="16">
        <v>91300</v>
      </c>
    </row>
    <row r="75" spans="1:5" x14ac:dyDescent="0.3">
      <c r="A75" s="13" t="s">
        <v>107</v>
      </c>
      <c r="B75" s="16">
        <v>285400</v>
      </c>
      <c r="D75" s="13" t="s">
        <v>513</v>
      </c>
      <c r="E75" s="16">
        <v>111000</v>
      </c>
    </row>
    <row r="76" spans="1:5" x14ac:dyDescent="0.3">
      <c r="A76" s="14" t="s">
        <v>26</v>
      </c>
      <c r="B76" s="16">
        <v>96800</v>
      </c>
      <c r="D76" s="14" t="s">
        <v>38</v>
      </c>
      <c r="E76" s="16">
        <v>111000</v>
      </c>
    </row>
    <row r="77" spans="1:5" x14ac:dyDescent="0.3">
      <c r="A77" s="14" t="s">
        <v>47</v>
      </c>
      <c r="B77" s="16">
        <v>95000</v>
      </c>
      <c r="D77" s="13" t="s">
        <v>260</v>
      </c>
      <c r="E77" s="16">
        <v>82000</v>
      </c>
    </row>
    <row r="78" spans="1:5" x14ac:dyDescent="0.3">
      <c r="A78" s="14" t="s">
        <v>104</v>
      </c>
      <c r="B78" s="16">
        <v>93600</v>
      </c>
      <c r="D78" s="14" t="s">
        <v>258</v>
      </c>
      <c r="E78" s="16">
        <v>82000</v>
      </c>
    </row>
    <row r="79" spans="1:5" x14ac:dyDescent="0.3">
      <c r="A79" s="13" t="s">
        <v>49</v>
      </c>
      <c r="B79" s="16">
        <v>205450</v>
      </c>
      <c r="D79" s="13" t="s">
        <v>464</v>
      </c>
      <c r="E79" s="16">
        <v>99950</v>
      </c>
    </row>
    <row r="80" spans="1:5" x14ac:dyDescent="0.3">
      <c r="A80" s="14" t="s">
        <v>26</v>
      </c>
      <c r="B80" s="16">
        <v>136550</v>
      </c>
      <c r="D80" s="14" t="s">
        <v>181</v>
      </c>
      <c r="E80" s="16">
        <v>99950</v>
      </c>
    </row>
    <row r="81" spans="1:5" x14ac:dyDescent="0.3">
      <c r="A81" s="14" t="s">
        <v>56</v>
      </c>
      <c r="B81" s="16">
        <v>68900</v>
      </c>
      <c r="D81" s="13" t="s">
        <v>295</v>
      </c>
      <c r="E81" s="16">
        <v>112000</v>
      </c>
    </row>
    <row r="82" spans="1:5" x14ac:dyDescent="0.3">
      <c r="A82" s="13" t="s">
        <v>258</v>
      </c>
      <c r="B82" s="16">
        <v>302000</v>
      </c>
      <c r="D82" s="14" t="s">
        <v>293</v>
      </c>
      <c r="E82" s="16">
        <v>112000</v>
      </c>
    </row>
    <row r="83" spans="1:5" x14ac:dyDescent="0.3">
      <c r="A83" s="14" t="s">
        <v>219</v>
      </c>
      <c r="B83" s="16">
        <v>146800</v>
      </c>
      <c r="D83" s="13" t="s">
        <v>488</v>
      </c>
      <c r="E83" s="16">
        <v>131600</v>
      </c>
    </row>
    <row r="84" spans="1:5" x14ac:dyDescent="0.3">
      <c r="A84" s="14" t="s">
        <v>26</v>
      </c>
      <c r="B84" s="16">
        <v>155200</v>
      </c>
      <c r="D84" s="14" t="s">
        <v>59</v>
      </c>
      <c r="E84" s="16">
        <v>131600</v>
      </c>
    </row>
    <row r="85" spans="1:5" x14ac:dyDescent="0.3">
      <c r="A85" s="13" t="s">
        <v>199</v>
      </c>
      <c r="B85" s="16">
        <v>304400</v>
      </c>
      <c r="D85" s="13" t="s">
        <v>125</v>
      </c>
      <c r="E85" s="16">
        <v>473500</v>
      </c>
    </row>
    <row r="86" spans="1:5" x14ac:dyDescent="0.3">
      <c r="A86" s="14" t="s">
        <v>76</v>
      </c>
      <c r="B86" s="16">
        <v>72000</v>
      </c>
      <c r="D86" s="14" t="s">
        <v>123</v>
      </c>
      <c r="E86" s="16">
        <v>473500</v>
      </c>
    </row>
    <row r="87" spans="1:5" x14ac:dyDescent="0.3">
      <c r="A87" s="14" t="s">
        <v>26</v>
      </c>
      <c r="B87" s="16">
        <v>152500</v>
      </c>
      <c r="D87" s="13" t="s">
        <v>404</v>
      </c>
      <c r="E87" s="16">
        <v>169000</v>
      </c>
    </row>
    <row r="88" spans="1:5" x14ac:dyDescent="0.3">
      <c r="A88" s="14" t="s">
        <v>56</v>
      </c>
      <c r="B88" s="16">
        <v>79900</v>
      </c>
      <c r="D88" s="14" t="s">
        <v>165</v>
      </c>
      <c r="E88" s="16">
        <v>169000</v>
      </c>
    </row>
    <row r="89" spans="1:5" x14ac:dyDescent="0.3">
      <c r="A89" s="13" t="s">
        <v>70</v>
      </c>
      <c r="B89" s="16">
        <v>205800</v>
      </c>
      <c r="D89" s="13" t="s">
        <v>459</v>
      </c>
      <c r="E89" s="16">
        <v>218000</v>
      </c>
    </row>
    <row r="90" spans="1:5" x14ac:dyDescent="0.3">
      <c r="A90" s="14" t="s">
        <v>76</v>
      </c>
      <c r="B90" s="16">
        <v>104500</v>
      </c>
      <c r="D90" s="14" t="s">
        <v>264</v>
      </c>
      <c r="E90" s="16">
        <v>218000</v>
      </c>
    </row>
    <row r="91" spans="1:5" x14ac:dyDescent="0.3">
      <c r="A91" s="14" t="s">
        <v>56</v>
      </c>
      <c r="B91" s="16">
        <v>101300</v>
      </c>
      <c r="D91" s="13" t="s">
        <v>358</v>
      </c>
      <c r="E91" s="16">
        <v>141800</v>
      </c>
    </row>
    <row r="92" spans="1:5" x14ac:dyDescent="0.3">
      <c r="A92" s="13" t="s">
        <v>252</v>
      </c>
      <c r="B92" s="16">
        <v>217750</v>
      </c>
      <c r="D92" s="14" t="s">
        <v>96</v>
      </c>
      <c r="E92" s="16">
        <v>71900</v>
      </c>
    </row>
    <row r="93" spans="1:5" x14ac:dyDescent="0.3">
      <c r="A93" s="14" t="s">
        <v>76</v>
      </c>
      <c r="B93" s="16">
        <v>108500</v>
      </c>
      <c r="D93" s="14" t="s">
        <v>17</v>
      </c>
      <c r="E93" s="16">
        <v>69900</v>
      </c>
    </row>
    <row r="94" spans="1:5" x14ac:dyDescent="0.3">
      <c r="A94" s="14" t="s">
        <v>47</v>
      </c>
      <c r="B94" s="16">
        <v>109250</v>
      </c>
      <c r="D94" s="13" t="s">
        <v>63</v>
      </c>
      <c r="E94" s="16">
        <v>121000</v>
      </c>
    </row>
    <row r="95" spans="1:5" x14ac:dyDescent="0.3">
      <c r="A95" s="13" t="s">
        <v>293</v>
      </c>
      <c r="B95" s="16">
        <v>231000</v>
      </c>
      <c r="D95" s="14" t="s">
        <v>59</v>
      </c>
      <c r="E95" s="16">
        <v>121000</v>
      </c>
    </row>
    <row r="96" spans="1:5" x14ac:dyDescent="0.3">
      <c r="A96" s="14" t="s">
        <v>26</v>
      </c>
      <c r="B96" s="16">
        <v>231000</v>
      </c>
      <c r="D96" s="13" t="s">
        <v>496</v>
      </c>
      <c r="E96" s="16">
        <v>242000</v>
      </c>
    </row>
    <row r="97" spans="1:5" x14ac:dyDescent="0.3">
      <c r="A97" s="13" t="s">
        <v>330</v>
      </c>
      <c r="B97" s="16">
        <v>273500</v>
      </c>
      <c r="D97" s="14" t="s">
        <v>29</v>
      </c>
      <c r="E97" s="16">
        <v>242000</v>
      </c>
    </row>
    <row r="98" spans="1:5" x14ac:dyDescent="0.3">
      <c r="A98" s="14" t="s">
        <v>26</v>
      </c>
      <c r="B98" s="16">
        <v>273500</v>
      </c>
      <c r="D98" s="13" t="s">
        <v>492</v>
      </c>
      <c r="E98" s="16">
        <v>94300</v>
      </c>
    </row>
    <row r="99" spans="1:5" x14ac:dyDescent="0.3">
      <c r="A99" s="13" t="s">
        <v>130</v>
      </c>
      <c r="B99" s="16">
        <v>266000</v>
      </c>
      <c r="D99" s="14" t="s">
        <v>88</v>
      </c>
      <c r="E99" s="16">
        <v>94300</v>
      </c>
    </row>
    <row r="100" spans="1:5" x14ac:dyDescent="0.3">
      <c r="A100" s="14" t="s">
        <v>26</v>
      </c>
      <c r="B100" s="16">
        <v>132000</v>
      </c>
      <c r="D100" s="13" t="s">
        <v>348</v>
      </c>
      <c r="E100" s="16">
        <v>146800</v>
      </c>
    </row>
    <row r="101" spans="1:5" x14ac:dyDescent="0.3">
      <c r="A101" s="14" t="s">
        <v>47</v>
      </c>
      <c r="B101" s="16">
        <v>134000</v>
      </c>
      <c r="D101" s="14" t="s">
        <v>258</v>
      </c>
      <c r="E101" s="16">
        <v>146800</v>
      </c>
    </row>
    <row r="102" spans="1:5" x14ac:dyDescent="0.3">
      <c r="A102" s="13" t="s">
        <v>286</v>
      </c>
      <c r="B102" s="16">
        <v>236800</v>
      </c>
      <c r="D102" s="13" t="s">
        <v>72</v>
      </c>
      <c r="E102" s="16">
        <v>104500</v>
      </c>
    </row>
    <row r="103" spans="1:5" x14ac:dyDescent="0.3">
      <c r="A103" s="14" t="s">
        <v>47</v>
      </c>
      <c r="B103" s="16">
        <v>116900</v>
      </c>
      <c r="D103" s="14" t="s">
        <v>70</v>
      </c>
      <c r="E103" s="16">
        <v>104500</v>
      </c>
    </row>
    <row r="104" spans="1:5" x14ac:dyDescent="0.3">
      <c r="A104" s="14" t="s">
        <v>56</v>
      </c>
      <c r="B104" s="16">
        <v>119900</v>
      </c>
      <c r="D104" s="13" t="s">
        <v>287</v>
      </c>
      <c r="E104" s="16">
        <v>116900</v>
      </c>
    </row>
    <row r="105" spans="1:5" x14ac:dyDescent="0.3">
      <c r="A105" s="13" t="s">
        <v>59</v>
      </c>
      <c r="B105" s="16">
        <v>514300</v>
      </c>
      <c r="D105" s="14" t="s">
        <v>286</v>
      </c>
      <c r="E105" s="16">
        <v>116900</v>
      </c>
    </row>
    <row r="106" spans="1:5" x14ac:dyDescent="0.3">
      <c r="A106" s="14" t="s">
        <v>26</v>
      </c>
      <c r="B106" s="16">
        <v>121000</v>
      </c>
      <c r="D106" s="13" t="s">
        <v>193</v>
      </c>
      <c r="E106" s="16">
        <v>158750</v>
      </c>
    </row>
    <row r="107" spans="1:5" x14ac:dyDescent="0.3">
      <c r="A107" s="14" t="s">
        <v>47</v>
      </c>
      <c r="B107" s="16">
        <v>261700</v>
      </c>
      <c r="D107" s="14" t="s">
        <v>190</v>
      </c>
      <c r="E107" s="16">
        <v>158750</v>
      </c>
    </row>
    <row r="108" spans="1:5" x14ac:dyDescent="0.3">
      <c r="A108" s="14" t="s">
        <v>93</v>
      </c>
      <c r="B108" s="16">
        <v>131600</v>
      </c>
      <c r="D108" s="13" t="s">
        <v>184</v>
      </c>
      <c r="E108" s="16">
        <v>91300</v>
      </c>
    </row>
    <row r="109" spans="1:5" x14ac:dyDescent="0.3">
      <c r="A109" s="13" t="s">
        <v>174</v>
      </c>
      <c r="B109" s="16">
        <v>246400</v>
      </c>
      <c r="D109" s="14" t="s">
        <v>181</v>
      </c>
      <c r="E109" s="16">
        <v>91300</v>
      </c>
    </row>
    <row r="110" spans="1:5" x14ac:dyDescent="0.3">
      <c r="A110" s="14" t="s">
        <v>26</v>
      </c>
      <c r="B110" s="16">
        <v>118500</v>
      </c>
      <c r="D110" s="13" t="s">
        <v>381</v>
      </c>
      <c r="E110" s="16">
        <v>361400</v>
      </c>
    </row>
    <row r="111" spans="1:5" x14ac:dyDescent="0.3">
      <c r="A111" s="14" t="s">
        <v>47</v>
      </c>
      <c r="B111" s="16">
        <v>127900</v>
      </c>
      <c r="D111" s="14" t="s">
        <v>212</v>
      </c>
      <c r="E111" s="16">
        <v>271700</v>
      </c>
    </row>
    <row r="112" spans="1:5" x14ac:dyDescent="0.3">
      <c r="A112" s="13" t="s">
        <v>222</v>
      </c>
      <c r="B112" s="16">
        <v>429500</v>
      </c>
      <c r="D112" s="14" t="s">
        <v>207</v>
      </c>
      <c r="E112" s="16">
        <v>89700</v>
      </c>
    </row>
    <row r="113" spans="1:5" x14ac:dyDescent="0.3">
      <c r="A113" s="14" t="s">
        <v>26</v>
      </c>
      <c r="B113" s="16">
        <v>290500</v>
      </c>
      <c r="D113" s="13" t="s">
        <v>83</v>
      </c>
      <c r="E113" s="16">
        <v>96300</v>
      </c>
    </row>
    <row r="114" spans="1:5" x14ac:dyDescent="0.3">
      <c r="A114" s="14" t="s">
        <v>47</v>
      </c>
      <c r="B114" s="16">
        <v>139000</v>
      </c>
      <c r="D114" s="14" t="s">
        <v>79</v>
      </c>
      <c r="E114" s="16">
        <v>96300</v>
      </c>
    </row>
    <row r="115" spans="1:5" x14ac:dyDescent="0.3">
      <c r="A115" s="13" t="s">
        <v>116</v>
      </c>
      <c r="B115" s="16">
        <v>475700.5</v>
      </c>
      <c r="D115" s="13" t="s">
        <v>447</v>
      </c>
      <c r="E115" s="16">
        <v>108500</v>
      </c>
    </row>
    <row r="116" spans="1:5" x14ac:dyDescent="0.3">
      <c r="A116" s="14" t="s">
        <v>26</v>
      </c>
      <c r="B116" s="16">
        <v>311700.5</v>
      </c>
      <c r="D116" s="14" t="s">
        <v>252</v>
      </c>
      <c r="E116" s="16">
        <v>108500</v>
      </c>
    </row>
    <row r="117" spans="1:5" x14ac:dyDescent="0.3">
      <c r="A117" s="14" t="s">
        <v>47</v>
      </c>
      <c r="B117" s="16">
        <v>164000</v>
      </c>
      <c r="D117" s="13" t="s">
        <v>524</v>
      </c>
      <c r="E117" s="16">
        <v>73200</v>
      </c>
    </row>
    <row r="118" spans="1:5" x14ac:dyDescent="0.3">
      <c r="A118" s="13" t="s">
        <v>264</v>
      </c>
      <c r="B118" s="16">
        <v>432000</v>
      </c>
      <c r="D118" s="14" t="s">
        <v>258</v>
      </c>
      <c r="E118" s="16">
        <v>73200</v>
      </c>
    </row>
    <row r="119" spans="1:5" x14ac:dyDescent="0.3">
      <c r="A119" s="14" t="s">
        <v>56</v>
      </c>
      <c r="B119" s="16">
        <v>218000</v>
      </c>
      <c r="D119" s="13" t="s">
        <v>362</v>
      </c>
      <c r="E119" s="16">
        <v>284500</v>
      </c>
    </row>
    <row r="120" spans="1:5" x14ac:dyDescent="0.3">
      <c r="A120" s="14" t="s">
        <v>267</v>
      </c>
      <c r="B120" s="16">
        <v>214000</v>
      </c>
      <c r="D120" s="14" t="s">
        <v>361</v>
      </c>
      <c r="E120" s="16">
        <v>284500</v>
      </c>
    </row>
    <row r="121" spans="1:5" x14ac:dyDescent="0.3">
      <c r="A121" s="13" t="s">
        <v>585</v>
      </c>
      <c r="B121" s="16">
        <v>12827800.5</v>
      </c>
      <c r="D121" s="13" t="s">
        <v>302</v>
      </c>
      <c r="E121" s="16">
        <v>74000</v>
      </c>
    </row>
    <row r="122" spans="1:5" x14ac:dyDescent="0.3">
      <c r="D122" s="14" t="s">
        <v>96</v>
      </c>
      <c r="E122" s="16">
        <v>74000</v>
      </c>
    </row>
    <row r="123" spans="1:5" x14ac:dyDescent="0.3">
      <c r="D123" s="13" t="s">
        <v>161</v>
      </c>
      <c r="E123" s="16">
        <v>185800</v>
      </c>
    </row>
    <row r="124" spans="1:5" x14ac:dyDescent="0.3">
      <c r="D124" s="14" t="s">
        <v>150</v>
      </c>
      <c r="E124" s="16">
        <v>126900</v>
      </c>
    </row>
    <row r="125" spans="1:5" x14ac:dyDescent="0.3">
      <c r="D125" s="14" t="s">
        <v>159</v>
      </c>
      <c r="E125" s="16">
        <v>58900</v>
      </c>
    </row>
    <row r="126" spans="1:5" x14ac:dyDescent="0.3">
      <c r="D126" s="13" t="s">
        <v>201</v>
      </c>
      <c r="E126" s="16">
        <v>72000</v>
      </c>
    </row>
    <row r="127" spans="1:5" x14ac:dyDescent="0.3">
      <c r="D127" s="14" t="s">
        <v>199</v>
      </c>
      <c r="E127" s="16">
        <v>72000</v>
      </c>
    </row>
    <row r="128" spans="1:5" x14ac:dyDescent="0.3">
      <c r="D128" s="13" t="s">
        <v>110</v>
      </c>
      <c r="E128" s="16">
        <v>203750</v>
      </c>
    </row>
    <row r="129" spans="4:5" x14ac:dyDescent="0.3">
      <c r="D129" s="14" t="s">
        <v>38</v>
      </c>
      <c r="E129" s="16">
        <v>108750</v>
      </c>
    </row>
    <row r="130" spans="4:5" x14ac:dyDescent="0.3">
      <c r="D130" s="14" t="s">
        <v>107</v>
      </c>
      <c r="E130" s="16">
        <v>95000</v>
      </c>
    </row>
    <row r="131" spans="4:5" x14ac:dyDescent="0.3">
      <c r="D131" s="13" t="s">
        <v>426</v>
      </c>
      <c r="E131" s="16">
        <v>127900</v>
      </c>
    </row>
    <row r="132" spans="4:5" x14ac:dyDescent="0.3">
      <c r="D132" s="14" t="s">
        <v>174</v>
      </c>
      <c r="E132" s="16">
        <v>127900</v>
      </c>
    </row>
    <row r="133" spans="4:5" x14ac:dyDescent="0.3">
      <c r="D133" s="13" t="s">
        <v>443</v>
      </c>
      <c r="E133" s="16">
        <v>176400</v>
      </c>
    </row>
    <row r="134" spans="4:5" x14ac:dyDescent="0.3">
      <c r="D134" s="14" t="s">
        <v>235</v>
      </c>
      <c r="E134" s="16">
        <v>176400</v>
      </c>
    </row>
    <row r="135" spans="4:5" x14ac:dyDescent="0.3">
      <c r="D135" s="13" t="s">
        <v>168</v>
      </c>
      <c r="E135" s="16">
        <v>164000</v>
      </c>
    </row>
    <row r="136" spans="4:5" x14ac:dyDescent="0.3">
      <c r="D136" s="14" t="s">
        <v>165</v>
      </c>
      <c r="E136" s="16">
        <v>164000</v>
      </c>
    </row>
    <row r="137" spans="4:5" x14ac:dyDescent="0.3">
      <c r="D137" s="13" t="s">
        <v>224</v>
      </c>
      <c r="E137" s="16">
        <v>139000</v>
      </c>
    </row>
    <row r="138" spans="4:5" x14ac:dyDescent="0.3">
      <c r="D138" s="14" t="s">
        <v>222</v>
      </c>
      <c r="E138" s="16">
        <v>139000</v>
      </c>
    </row>
    <row r="139" spans="4:5" x14ac:dyDescent="0.3">
      <c r="D139" s="13" t="s">
        <v>475</v>
      </c>
      <c r="E139" s="16">
        <v>91500</v>
      </c>
    </row>
    <row r="140" spans="4:5" x14ac:dyDescent="0.3">
      <c r="D140" s="14" t="s">
        <v>473</v>
      </c>
      <c r="E140" s="16">
        <v>91500</v>
      </c>
    </row>
    <row r="141" spans="4:5" x14ac:dyDescent="0.3">
      <c r="D141" s="13" t="s">
        <v>410</v>
      </c>
      <c r="E141" s="16">
        <v>268900</v>
      </c>
    </row>
    <row r="142" spans="4:5" x14ac:dyDescent="0.3">
      <c r="D142" s="14" t="s">
        <v>212</v>
      </c>
      <c r="E142" s="16">
        <v>268900</v>
      </c>
    </row>
    <row r="143" spans="4:5" x14ac:dyDescent="0.3">
      <c r="D143" s="13" t="s">
        <v>276</v>
      </c>
      <c r="E143" s="16">
        <v>98200</v>
      </c>
    </row>
    <row r="144" spans="4:5" x14ac:dyDescent="0.3">
      <c r="D144" s="14" t="s">
        <v>181</v>
      </c>
      <c r="E144" s="16">
        <v>98200</v>
      </c>
    </row>
    <row r="145" spans="4:5" x14ac:dyDescent="0.3">
      <c r="D145" s="13" t="s">
        <v>214</v>
      </c>
      <c r="E145" s="16">
        <v>270000</v>
      </c>
    </row>
    <row r="146" spans="4:5" x14ac:dyDescent="0.3">
      <c r="D146" s="14" t="s">
        <v>212</v>
      </c>
      <c r="E146" s="16">
        <v>270000</v>
      </c>
    </row>
    <row r="147" spans="4:5" x14ac:dyDescent="0.3">
      <c r="D147" s="13" t="s">
        <v>209</v>
      </c>
      <c r="E147" s="16">
        <v>86500</v>
      </c>
    </row>
    <row r="148" spans="4:5" x14ac:dyDescent="0.3">
      <c r="D148" s="14" t="s">
        <v>207</v>
      </c>
      <c r="E148" s="16">
        <v>86500</v>
      </c>
    </row>
    <row r="149" spans="4:5" x14ac:dyDescent="0.3">
      <c r="D149" s="13" t="s">
        <v>90</v>
      </c>
      <c r="E149" s="16">
        <v>303750</v>
      </c>
    </row>
    <row r="150" spans="4:5" x14ac:dyDescent="0.3">
      <c r="D150" s="14" t="s">
        <v>88</v>
      </c>
      <c r="E150" s="16">
        <v>89750</v>
      </c>
    </row>
    <row r="151" spans="4:5" x14ac:dyDescent="0.3">
      <c r="D151" s="14" t="s">
        <v>264</v>
      </c>
      <c r="E151" s="16">
        <v>214000</v>
      </c>
    </row>
    <row r="152" spans="4:5" x14ac:dyDescent="0.3">
      <c r="D152" s="13" t="s">
        <v>565</v>
      </c>
      <c r="E152" s="16">
        <v>119000</v>
      </c>
    </row>
    <row r="153" spans="4:5" x14ac:dyDescent="0.3">
      <c r="D153" s="14" t="s">
        <v>293</v>
      </c>
      <c r="E153" s="16">
        <v>119000</v>
      </c>
    </row>
    <row r="154" spans="4:5" x14ac:dyDescent="0.3">
      <c r="D154" s="13" t="s">
        <v>133</v>
      </c>
      <c r="E154" s="16">
        <v>216500</v>
      </c>
    </row>
    <row r="155" spans="4:5" x14ac:dyDescent="0.3">
      <c r="D155" s="14" t="s">
        <v>228</v>
      </c>
      <c r="E155" s="16">
        <v>84500</v>
      </c>
    </row>
    <row r="156" spans="4:5" x14ac:dyDescent="0.3">
      <c r="D156" s="14" t="s">
        <v>130</v>
      </c>
      <c r="E156" s="16">
        <v>132000</v>
      </c>
    </row>
    <row r="157" spans="4:5" x14ac:dyDescent="0.3">
      <c r="D157" s="13" t="s">
        <v>521</v>
      </c>
      <c r="E157" s="16">
        <v>119900</v>
      </c>
    </row>
    <row r="158" spans="4:5" x14ac:dyDescent="0.3">
      <c r="D158" s="14" t="s">
        <v>286</v>
      </c>
      <c r="E158" s="16">
        <v>119900</v>
      </c>
    </row>
    <row r="159" spans="4:5" x14ac:dyDescent="0.3">
      <c r="D159" s="13" t="s">
        <v>32</v>
      </c>
      <c r="E159" s="16">
        <v>313900</v>
      </c>
    </row>
    <row r="160" spans="4:5" x14ac:dyDescent="0.3">
      <c r="D160" s="14" t="s">
        <v>17</v>
      </c>
      <c r="E160" s="16">
        <v>78900</v>
      </c>
    </row>
    <row r="161" spans="4:5" x14ac:dyDescent="0.3">
      <c r="D161" s="14" t="s">
        <v>29</v>
      </c>
      <c r="E161" s="16">
        <v>235000</v>
      </c>
    </row>
    <row r="162" spans="4:5" x14ac:dyDescent="0.3">
      <c r="D162" s="13" t="s">
        <v>420</v>
      </c>
      <c r="E162" s="16">
        <v>66750</v>
      </c>
    </row>
    <row r="163" spans="4:5" x14ac:dyDescent="0.3">
      <c r="D163" s="14" t="s">
        <v>49</v>
      </c>
      <c r="E163" s="16">
        <v>66750</v>
      </c>
    </row>
    <row r="164" spans="4:5" x14ac:dyDescent="0.3">
      <c r="D164" s="13" t="s">
        <v>271</v>
      </c>
      <c r="E164" s="16">
        <v>194300</v>
      </c>
    </row>
    <row r="165" spans="4:5" x14ac:dyDescent="0.3">
      <c r="D165" s="14" t="s">
        <v>150</v>
      </c>
      <c r="E165" s="16">
        <v>124500</v>
      </c>
    </row>
    <row r="166" spans="4:5" x14ac:dyDescent="0.3">
      <c r="D166" s="14" t="s">
        <v>49</v>
      </c>
      <c r="E166" s="16">
        <v>69800</v>
      </c>
    </row>
    <row r="167" spans="4:5" x14ac:dyDescent="0.3">
      <c r="D167" s="13" t="s">
        <v>502</v>
      </c>
      <c r="E167" s="16">
        <v>82750</v>
      </c>
    </row>
    <row r="168" spans="4:5" x14ac:dyDescent="0.3">
      <c r="D168" s="14" t="s">
        <v>500</v>
      </c>
      <c r="E168" s="16">
        <v>82750</v>
      </c>
    </row>
    <row r="169" spans="4:5" x14ac:dyDescent="0.3">
      <c r="D169" s="13" t="s">
        <v>316</v>
      </c>
      <c r="E169" s="16">
        <v>103750</v>
      </c>
    </row>
    <row r="170" spans="4:5" x14ac:dyDescent="0.3">
      <c r="D170" s="14" t="s">
        <v>38</v>
      </c>
      <c r="E170" s="16">
        <v>103750</v>
      </c>
    </row>
    <row r="171" spans="4:5" x14ac:dyDescent="0.3">
      <c r="D171" s="13" t="s">
        <v>367</v>
      </c>
      <c r="E171" s="16">
        <v>209000</v>
      </c>
    </row>
    <row r="172" spans="4:5" x14ac:dyDescent="0.3">
      <c r="D172" s="14" t="s">
        <v>199</v>
      </c>
      <c r="E172" s="16">
        <v>71500</v>
      </c>
    </row>
    <row r="173" spans="4:5" x14ac:dyDescent="0.3">
      <c r="D173" s="14" t="s">
        <v>330</v>
      </c>
      <c r="E173" s="16">
        <v>137500</v>
      </c>
    </row>
    <row r="174" spans="4:5" x14ac:dyDescent="0.3">
      <c r="D174" s="13" t="s">
        <v>325</v>
      </c>
      <c r="E174" s="16">
        <v>129000</v>
      </c>
    </row>
    <row r="175" spans="4:5" x14ac:dyDescent="0.3">
      <c r="D175" s="14" t="s">
        <v>59</v>
      </c>
      <c r="E175" s="16">
        <v>129000</v>
      </c>
    </row>
    <row r="176" spans="4:5" x14ac:dyDescent="0.3">
      <c r="D176" s="13" t="s">
        <v>374</v>
      </c>
      <c r="E176" s="16">
        <v>351600</v>
      </c>
    </row>
    <row r="177" spans="4:5" x14ac:dyDescent="0.3">
      <c r="D177" s="14" t="s">
        <v>372</v>
      </c>
      <c r="E177" s="16">
        <v>146800</v>
      </c>
    </row>
    <row r="178" spans="4:5" x14ac:dyDescent="0.3">
      <c r="D178" s="14" t="s">
        <v>139</v>
      </c>
      <c r="E178" s="16">
        <v>204800</v>
      </c>
    </row>
    <row r="179" spans="4:5" x14ac:dyDescent="0.3">
      <c r="D179" s="13" t="s">
        <v>585</v>
      </c>
      <c r="E179" s="16">
        <v>12827800.5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sanitized</vt:lpstr>
      <vt:lpstr>normalizer_db</vt:lpstr>
      <vt:lpstr>tabelas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Giovany Cesar</cp:lastModifiedBy>
  <dcterms:created xsi:type="dcterms:W3CDTF">2026-10-13T19:12:40Z</dcterms:created>
  <dcterms:modified xsi:type="dcterms:W3CDTF">2026-10-14T19:40:45Z</dcterms:modified>
</cp:coreProperties>
</file>